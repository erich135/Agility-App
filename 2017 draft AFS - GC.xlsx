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omments1.xml" ContentType="application/vnd.openxmlformats-officedocument.spreadsheetml.comments+xml"/>
  <Override PartName="/xl/customProperty3.bin" ContentType="application/vnd.openxmlformats-officedocument.spreadsheetml.customProperty"/>
  <Override PartName="/xl/drawings/drawing1.xml" ContentType="application/vnd.openxmlformats-officedocument.drawing+xml"/>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comments2.xml" ContentType="application/vnd.openxmlformats-officedocument.spreadsheetml.comments+xml"/>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D:\The only Gauteng Cycle folder\"/>
    </mc:Choice>
  </mc:AlternateContent>
  <bookViews>
    <workbookView xWindow="120" yWindow="165" windowWidth="24915" windowHeight="11700" firstSheet="2" activeTab="5"/>
  </bookViews>
  <sheets>
    <sheet name="Shortcuts" sheetId="26" r:id="rId1"/>
    <sheet name="Follow up" sheetId="19" r:id="rId2"/>
    <sheet name="Budget 2018FY" sheetId="32" r:id="rId3"/>
    <sheet name="Track champs" sheetId="33" r:id="rId4"/>
    <sheet name="2016 road champs" sheetId="34" r:id="rId5"/>
    <sheet name="cover" sheetId="1" r:id="rId6"/>
    <sheet name="General info" sheetId="2" r:id="rId7"/>
    <sheet name="Index" sheetId="3" r:id="rId8"/>
    <sheet name="Resp&amp;Approval" sheetId="4" r:id="rId9"/>
    <sheet name="Treasurer report" sheetId="5" r:id="rId10"/>
    <sheet name="SOFP" sheetId="6" r:id="rId11"/>
    <sheet name="SOCI" sheetId="7" r:id="rId12"/>
    <sheet name="SOCE" sheetId="8" r:id="rId13"/>
    <sheet name="SCF" sheetId="9" r:id="rId14"/>
    <sheet name="Acc policies" sheetId="10" r:id="rId15"/>
    <sheet name="Notes" sheetId="11" r:id="rId16"/>
    <sheet name="GC_Bank_Statements" sheetId="27" r:id="rId17"/>
    <sheet name="GC_TB_2017" sheetId="31" r:id="rId18"/>
    <sheet name="GC_GL_2017" sheetId="30" r:id="rId19"/>
    <sheet name="GC_GL_2016" sheetId="28" r:id="rId20"/>
    <sheet name="GC_TB_2016" sheetId="29" r:id="rId21"/>
    <sheet name="Workings" sheetId="16" r:id="rId22"/>
    <sheet name="Sheet2" sheetId="20" state="hidden" r:id="rId23"/>
  </sheets>
  <definedNames>
    <definedName name="_xlnm._FilterDatabase" localSheetId="16" hidden="1">GC_Bank_Statements!$A$9:$J$93</definedName>
  </definedNames>
  <calcPr calcId="171027"/>
</workbook>
</file>

<file path=xl/calcChain.xml><?xml version="1.0" encoding="utf-8"?>
<calcChain xmlns="http://schemas.openxmlformats.org/spreadsheetml/2006/main">
  <c r="E178" i="5" l="1"/>
  <c r="H186" i="5"/>
  <c r="H185" i="5"/>
  <c r="H184" i="5"/>
  <c r="E161" i="5"/>
  <c r="E154" i="5"/>
  <c r="E144" i="5"/>
  <c r="E99" i="5"/>
  <c r="E93" i="5" s="1"/>
  <c r="E131" i="5"/>
  <c r="F93" i="5"/>
  <c r="G83" i="5"/>
  <c r="F83" i="5"/>
  <c r="D83" i="5"/>
  <c r="E125" i="5"/>
  <c r="E115" i="5"/>
  <c r="E110" i="5"/>
  <c r="E90" i="5"/>
  <c r="E83" i="5" s="1"/>
  <c r="H187" i="5" l="1"/>
  <c r="E104" i="5"/>
  <c r="E164" i="5" s="1"/>
  <c r="G133" i="5" l="1"/>
  <c r="F133" i="5"/>
  <c r="E133" i="5"/>
  <c r="E165" i="5" s="1"/>
  <c r="C133" i="5"/>
  <c r="G104" i="5"/>
  <c r="F104" i="5"/>
  <c r="C104" i="5"/>
  <c r="D151" i="5"/>
  <c r="D122" i="5"/>
  <c r="D114" i="5"/>
  <c r="D104" i="5" s="1"/>
  <c r="D164" i="5" s="1"/>
  <c r="D143" i="5"/>
  <c r="G93" i="5"/>
  <c r="D93" i="5"/>
  <c r="C93" i="5"/>
  <c r="C83" i="5"/>
  <c r="B75" i="34"/>
  <c r="B74" i="34"/>
  <c r="B73" i="34"/>
  <c r="B72" i="34"/>
  <c r="B71" i="34"/>
  <c r="B70" i="34"/>
  <c r="B69" i="34"/>
  <c r="B67" i="34"/>
  <c r="E49" i="34"/>
  <c r="E51" i="34" s="1"/>
  <c r="G47" i="34"/>
  <c r="G46" i="34"/>
  <c r="G45" i="34"/>
  <c r="G44" i="34"/>
  <c r="G43" i="34"/>
  <c r="G42" i="34"/>
  <c r="G41" i="34"/>
  <c r="G40" i="34"/>
  <c r="G39" i="34"/>
  <c r="G38" i="34"/>
  <c r="G37" i="34"/>
  <c r="G36" i="34"/>
  <c r="G35" i="34"/>
  <c r="G34" i="34"/>
  <c r="G33" i="34"/>
  <c r="G32" i="34"/>
  <c r="E31" i="34"/>
  <c r="G31" i="34" s="1"/>
  <c r="G27" i="34"/>
  <c r="G25" i="34"/>
  <c r="G20" i="34" s="1"/>
  <c r="G24" i="34"/>
  <c r="G23" i="34"/>
  <c r="G22" i="34"/>
  <c r="F20" i="34"/>
  <c r="E20" i="34"/>
  <c r="F15" i="34"/>
  <c r="F49" i="34" s="1"/>
  <c r="E15" i="34"/>
  <c r="H41" i="32"/>
  <c r="G39" i="32"/>
  <c r="G9" i="32"/>
  <c r="G41" i="32"/>
  <c r="F41" i="32"/>
  <c r="F6" i="32"/>
  <c r="F12" i="32"/>
  <c r="F32" i="32"/>
  <c r="F31" i="32"/>
  <c r="F30" i="32"/>
  <c r="F29" i="32"/>
  <c r="F28" i="32"/>
  <c r="F27" i="32"/>
  <c r="F26" i="32"/>
  <c r="F25" i="32"/>
  <c r="F24" i="32"/>
  <c r="F23" i="32"/>
  <c r="F21" i="32"/>
  <c r="F18" i="32"/>
  <c r="F13" i="32"/>
  <c r="F9" i="32" s="1"/>
  <c r="F39" i="32" s="1"/>
  <c r="F11" i="32"/>
  <c r="C164" i="5" l="1"/>
  <c r="D133" i="5"/>
  <c r="D165" i="5" s="1"/>
  <c r="C165" i="5"/>
  <c r="G15" i="34"/>
  <c r="G49" i="34" s="1"/>
  <c r="I122" i="11" l="1"/>
  <c r="G122" i="11"/>
  <c r="G65" i="11"/>
  <c r="I65" i="11"/>
  <c r="I70" i="11" s="1"/>
  <c r="G35" i="11"/>
  <c r="G33" i="11" s="1"/>
  <c r="G42" i="11" s="1"/>
  <c r="I34" i="11"/>
  <c r="I33" i="11" s="1"/>
  <c r="I113" i="11" s="1"/>
  <c r="I118" i="11" s="1"/>
  <c r="I29" i="11"/>
  <c r="I13" i="11"/>
  <c r="I15" i="11" s="1"/>
  <c r="G13" i="11"/>
  <c r="G15" i="11" s="1"/>
  <c r="G17" i="11" s="1"/>
  <c r="I8" i="11"/>
  <c r="G8" i="11"/>
  <c r="J30" i="9"/>
  <c r="D24" i="16"/>
  <c r="D20" i="16" s="1"/>
  <c r="H26" i="9"/>
  <c r="H30" i="9"/>
  <c r="H28" i="9"/>
  <c r="H9" i="9"/>
  <c r="D53" i="16"/>
  <c r="D52" i="16"/>
  <c r="D51" i="16"/>
  <c r="D46" i="16"/>
  <c r="D45" i="16"/>
  <c r="C37" i="16"/>
  <c r="D23" i="16"/>
  <c r="D17" i="16"/>
  <c r="C9" i="16"/>
  <c r="C8" i="16"/>
  <c r="H16" i="7"/>
  <c r="J12" i="7"/>
  <c r="G15" i="31"/>
  <c r="H12" i="7"/>
  <c r="J6" i="7"/>
  <c r="H6" i="7"/>
  <c r="J4" i="7"/>
  <c r="H4" i="7"/>
  <c r="J22" i="6"/>
  <c r="J9" i="6"/>
  <c r="H9" i="6"/>
  <c r="J8" i="6"/>
  <c r="H8" i="6"/>
  <c r="G7" i="31"/>
  <c r="H22" i="6" s="1"/>
  <c r="H4" i="31"/>
  <c r="H16" i="31" s="1"/>
  <c r="H15" i="31"/>
  <c r="A14" i="31"/>
  <c r="A11" i="31"/>
  <c r="A9" i="31"/>
  <c r="A7" i="31"/>
  <c r="A6" i="31"/>
  <c r="A5" i="31"/>
  <c r="A4" i="31"/>
  <c r="E50" i="30"/>
  <c r="I51" i="30" s="1"/>
  <c r="E42" i="30"/>
  <c r="I43" i="30" s="1"/>
  <c r="I44" i="30" s="1"/>
  <c r="I45" i="30" s="1"/>
  <c r="I46" i="30" s="1"/>
  <c r="I47" i="30" s="1"/>
  <c r="I48" i="30" s="1"/>
  <c r="I39" i="30"/>
  <c r="I40" i="30" s="1"/>
  <c r="E41" i="30" s="1"/>
  <c r="E91" i="30"/>
  <c r="I92" i="30" s="1"/>
  <c r="I93" i="30" s="1"/>
  <c r="I11" i="30"/>
  <c r="I12" i="30" s="1"/>
  <c r="I13" i="30" s="1"/>
  <c r="I14" i="30" s="1"/>
  <c r="I15" i="30" s="1"/>
  <c r="I16" i="30" s="1"/>
  <c r="I17" i="30" s="1"/>
  <c r="I18" i="30" s="1"/>
  <c r="I19" i="30" s="1"/>
  <c r="I20" i="30" s="1"/>
  <c r="I21" i="30" s="1"/>
  <c r="I22" i="30" s="1"/>
  <c r="I23" i="30" s="1"/>
  <c r="I24" i="30" s="1"/>
  <c r="I25" i="30" s="1"/>
  <c r="I26" i="30" s="1"/>
  <c r="I27" i="30" s="1"/>
  <c r="I28" i="30" s="1"/>
  <c r="I29" i="30" s="1"/>
  <c r="I30" i="30" s="1"/>
  <c r="I31" i="30" s="1"/>
  <c r="I32" i="30" s="1"/>
  <c r="I33" i="30" s="1"/>
  <c r="I34" i="30" s="1"/>
  <c r="I35" i="30" s="1"/>
  <c r="I36" i="30" s="1"/>
  <c r="I37" i="30" s="1"/>
  <c r="E38" i="30" s="1"/>
  <c r="I9" i="30"/>
  <c r="E10" i="30" s="1"/>
  <c r="H11" i="31" s="1"/>
  <c r="G11" i="31" s="1"/>
  <c r="I5" i="30"/>
  <c r="I6" i="30" s="1"/>
  <c r="I7" i="30" s="1"/>
  <c r="E8" i="30" s="1"/>
  <c r="H9" i="31" s="1"/>
  <c r="G9" i="31" s="1"/>
  <c r="H11" i="29"/>
  <c r="G11" i="29" s="1"/>
  <c r="H9" i="29"/>
  <c r="G9" i="29" s="1"/>
  <c r="I9" i="28"/>
  <c r="E10" i="28" s="1"/>
  <c r="I5" i="28"/>
  <c r="I6" i="28" s="1"/>
  <c r="I7" i="28" s="1"/>
  <c r="E8" i="28" s="1"/>
  <c r="F92" i="27"/>
  <c r="F93" i="27" s="1"/>
  <c r="I93" i="27" s="1"/>
  <c r="F89" i="27"/>
  <c r="F90" i="27" s="1"/>
  <c r="I90" i="27" s="1"/>
  <c r="F86" i="27"/>
  <c r="F87" i="27" s="1"/>
  <c r="G88" i="27" s="1"/>
  <c r="F83" i="27"/>
  <c r="F84" i="27" s="1"/>
  <c r="G113" i="11" l="1"/>
  <c r="G118" i="11" s="1"/>
  <c r="G4" i="31"/>
  <c r="I52" i="30"/>
  <c r="I53" i="30" s="1"/>
  <c r="I54" i="30" s="1"/>
  <c r="I55" i="30" s="1"/>
  <c r="I56" i="30" s="1"/>
  <c r="I57" i="30" s="1"/>
  <c r="I58" i="30" s="1"/>
  <c r="I59" i="30" s="1"/>
  <c r="I60" i="30" s="1"/>
  <c r="I61" i="30" s="1"/>
  <c r="I62" i="30" s="1"/>
  <c r="I63" i="30" s="1"/>
  <c r="I64" i="30" s="1"/>
  <c r="I65" i="30" s="1"/>
  <c r="I66" i="30" s="1"/>
  <c r="I67" i="30" s="1"/>
  <c r="I68" i="30" s="1"/>
  <c r="I69" i="30" s="1"/>
  <c r="I70" i="30" s="1"/>
  <c r="I71" i="30" s="1"/>
  <c r="I72" i="30" s="1"/>
  <c r="I73" i="30" s="1"/>
  <c r="I74" i="30" s="1"/>
  <c r="I75" i="30" s="1"/>
  <c r="I76" i="30" s="1"/>
  <c r="I77" i="30" s="1"/>
  <c r="I78" i="30" s="1"/>
  <c r="I79" i="30" s="1"/>
  <c r="I80" i="30" s="1"/>
  <c r="I81" i="30" s="1"/>
  <c r="I82" i="30" s="1"/>
  <c r="I83" i="30" s="1"/>
  <c r="I84" i="30" s="1"/>
  <c r="I85" i="30" s="1"/>
  <c r="I86" i="30" s="1"/>
  <c r="I87" i="30" s="1"/>
  <c r="I88" i="30" s="1"/>
  <c r="I89" i="30" s="1"/>
  <c r="E90" i="30" s="1"/>
  <c r="H6" i="31" s="1"/>
  <c r="G6" i="31" s="1"/>
  <c r="I94" i="30"/>
  <c r="I95" i="30" s="1"/>
  <c r="I96" i="30" s="1"/>
  <c r="I97" i="30" s="1"/>
  <c r="I98" i="30" s="1"/>
  <c r="I99" i="30" s="1"/>
  <c r="E100" i="30" s="1"/>
  <c r="H7" i="31" s="1"/>
  <c r="E49" i="30"/>
  <c r="H5" i="31" s="1"/>
  <c r="G5" i="31" s="1"/>
  <c r="H14" i="31"/>
  <c r="G14" i="31" s="1"/>
  <c r="I87" i="27"/>
  <c r="G85" i="27"/>
  <c r="I84" i="27"/>
  <c r="F79" i="27"/>
  <c r="F80" i="27" s="1"/>
  <c r="F81" i="27" s="1"/>
  <c r="G82" i="27" s="1"/>
  <c r="F72" i="27"/>
  <c r="F73" i="27" s="1"/>
  <c r="I73" i="27" s="1"/>
  <c r="G16" i="31" l="1"/>
  <c r="F74" i="27"/>
  <c r="F75" i="27" s="1"/>
  <c r="F76" i="27" s="1"/>
  <c r="F77" i="27" s="1"/>
  <c r="G78" i="27" s="1"/>
  <c r="I79" i="27"/>
  <c r="G4" i="29" l="1"/>
  <c r="I34" i="28"/>
  <c r="I35" i="28" s="1"/>
  <c r="I36" i="28" s="1"/>
  <c r="I37" i="28" s="1"/>
  <c r="I38" i="28" s="1"/>
  <c r="I39" i="28" s="1"/>
  <c r="I40" i="28" s="1"/>
  <c r="I41" i="28" s="1"/>
  <c r="I42" i="28" s="1"/>
  <c r="I43" i="28" s="1"/>
  <c r="I44" i="28" s="1"/>
  <c r="I45" i="28" s="1"/>
  <c r="I46" i="28" s="1"/>
  <c r="I47" i="28" s="1"/>
  <c r="I48" i="28" s="1"/>
  <c r="I49" i="28" s="1"/>
  <c r="I50" i="28" s="1"/>
  <c r="I51" i="28" s="1"/>
  <c r="I52" i="28" s="1"/>
  <c r="I53" i="28" s="1"/>
  <c r="I54" i="28" s="1"/>
  <c r="I55" i="28" s="1"/>
  <c r="I56" i="28" s="1"/>
  <c r="I57" i="28" s="1"/>
  <c r="I58" i="28" s="1"/>
  <c r="E59" i="28" s="1"/>
  <c r="H6" i="29" s="1"/>
  <c r="G6" i="29" s="1"/>
  <c r="I27" i="28"/>
  <c r="I28" i="28" s="1"/>
  <c r="I29" i="28" s="1"/>
  <c r="I60" i="28"/>
  <c r="I61" i="28" s="1"/>
  <c r="I62" i="28" s="1"/>
  <c r="I63" i="28" s="1"/>
  <c r="I64" i="28" s="1"/>
  <c r="I65" i="28" s="1"/>
  <c r="I11" i="28"/>
  <c r="I12" i="28" s="1"/>
  <c r="I13" i="28" s="1"/>
  <c r="I14" i="28" s="1"/>
  <c r="I15" i="28" s="1"/>
  <c r="I16" i="28" s="1"/>
  <c r="I17" i="28" s="1"/>
  <c r="I18" i="28" s="1"/>
  <c r="I19" i="28" s="1"/>
  <c r="I20" i="28" s="1"/>
  <c r="I21" i="28" s="1"/>
  <c r="I22" i="28" s="1"/>
  <c r="I23" i="28" s="1"/>
  <c r="I24" i="28" s="1"/>
  <c r="I25" i="28" s="1"/>
  <c r="E26" i="28" s="1"/>
  <c r="H14" i="29" s="1"/>
  <c r="G14" i="29" s="1"/>
  <c r="I30" i="28" l="1"/>
  <c r="I31" i="28" s="1"/>
  <c r="I32" i="28" s="1"/>
  <c r="E33" i="28" s="1"/>
  <c r="H5" i="29" s="1"/>
  <c r="G5" i="29" s="1"/>
  <c r="I66" i="28"/>
  <c r="I67" i="28" s="1"/>
  <c r="E68" i="28" s="1"/>
  <c r="H7" i="29" s="1"/>
  <c r="G7" i="29" s="1"/>
  <c r="F69" i="27"/>
  <c r="F70" i="27" s="1"/>
  <c r="F66" i="27"/>
  <c r="F67" i="27" s="1"/>
  <c r="I70" i="27" l="1"/>
  <c r="G71" i="27"/>
  <c r="H15" i="29"/>
  <c r="G15" i="29"/>
  <c r="G68" i="27"/>
  <c r="I67" i="27"/>
  <c r="F62" i="27"/>
  <c r="F63" i="27" s="1"/>
  <c r="I63" i="27" s="1"/>
  <c r="F59" i="27"/>
  <c r="F60" i="27" s="1"/>
  <c r="I60" i="27" s="1"/>
  <c r="F48" i="27"/>
  <c r="F49" i="27" s="1"/>
  <c r="F50" i="27" s="1"/>
  <c r="F51" i="27" s="1"/>
  <c r="F52" i="27" s="1"/>
  <c r="F53" i="27" s="1"/>
  <c r="F54" i="27" s="1"/>
  <c r="F55" i="27" s="1"/>
  <c r="F56" i="27" s="1"/>
  <c r="F57" i="27" s="1"/>
  <c r="G58" i="27" s="1"/>
  <c r="F45" i="27"/>
  <c r="F46" i="27" s="1"/>
  <c r="I46" i="27" s="1"/>
  <c r="F41" i="27"/>
  <c r="F42" i="27" s="1"/>
  <c r="I42" i="27" s="1"/>
  <c r="F38" i="27"/>
  <c r="F39" i="27" s="1"/>
  <c r="I39" i="27" s="1"/>
  <c r="F35" i="27"/>
  <c r="F36" i="27" s="1"/>
  <c r="I36" i="27" s="1"/>
  <c r="F30" i="27"/>
  <c r="F31" i="27" s="1"/>
  <c r="F32" i="27" s="1"/>
  <c r="F33" i="27" s="1"/>
  <c r="G34" i="27" s="1"/>
  <c r="F26" i="27"/>
  <c r="F27" i="27" s="1"/>
  <c r="F28" i="27" s="1"/>
  <c r="G29" i="27" s="1"/>
  <c r="F21" i="27"/>
  <c r="F22" i="27" s="1"/>
  <c r="F23" i="27" s="1"/>
  <c r="F24" i="27" s="1"/>
  <c r="G25" i="27" s="1"/>
  <c r="F64" i="27" l="1"/>
  <c r="G65" i="27" s="1"/>
  <c r="G47" i="27"/>
  <c r="I32" i="27"/>
  <c r="F43" i="27"/>
  <c r="G44" i="27" s="1"/>
  <c r="G40" i="27"/>
  <c r="G37" i="27"/>
  <c r="I49" i="27"/>
  <c r="I27" i="27"/>
  <c r="I22" i="27"/>
  <c r="F16" i="27"/>
  <c r="F17" i="27" s="1"/>
  <c r="F18" i="27" s="1"/>
  <c r="F19" i="27" s="1"/>
  <c r="G20" i="27" s="1"/>
  <c r="F11" i="27"/>
  <c r="F12" i="27" s="1"/>
  <c r="F13" i="27" s="1"/>
  <c r="F14" i="27" s="1"/>
  <c r="G15" i="27" s="1"/>
  <c r="I17" i="27" l="1"/>
  <c r="I13" i="27"/>
  <c r="C51" i="2"/>
  <c r="I57" i="11" l="1"/>
  <c r="I42" i="11" l="1"/>
  <c r="I17" i="11"/>
  <c r="I83" i="11" l="1"/>
  <c r="G83" i="11"/>
  <c r="B9" i="16" l="1"/>
  <c r="B37" i="16"/>
  <c r="B10" i="16" l="1"/>
  <c r="B38" i="16"/>
  <c r="D37" i="16" s="1"/>
  <c r="D8" i="16" l="1"/>
  <c r="D9" i="16"/>
  <c r="D36" i="16"/>
  <c r="G29" i="11" l="1"/>
  <c r="G84" i="11" s="1"/>
  <c r="D10" i="16"/>
  <c r="D12" i="16" s="1"/>
  <c r="D26" i="16"/>
  <c r="D38" i="16"/>
  <c r="D40" i="16" s="1"/>
  <c r="G57" i="11" l="1"/>
  <c r="D31" i="16"/>
  <c r="D22" i="16"/>
  <c r="I84" i="11"/>
  <c r="G70" i="11" l="1"/>
  <c r="H7" i="9"/>
  <c r="D48" i="16" l="1"/>
  <c r="J7" i="9" s="1"/>
  <c r="I9" i="11"/>
  <c r="D16" i="16"/>
  <c r="D3" i="16" l="1"/>
  <c r="D18" i="16"/>
  <c r="G9" i="11"/>
  <c r="D42" i="16"/>
  <c r="J6" i="9" s="1"/>
  <c r="J8" i="7"/>
  <c r="J18" i="7" s="1"/>
  <c r="J10" i="6"/>
  <c r="J12" i="6" s="1"/>
  <c r="D14" i="16" l="1"/>
  <c r="H6" i="9" s="1"/>
  <c r="H12" i="9" s="1"/>
  <c r="H8" i="7"/>
  <c r="H18" i="7" s="1"/>
  <c r="H17" i="6" s="1"/>
  <c r="H10" i="6"/>
  <c r="H12" i="6" s="1"/>
  <c r="J12" i="9"/>
  <c r="J26" i="9" s="1"/>
  <c r="I77" i="11"/>
  <c r="I86" i="11" s="1"/>
  <c r="J6" i="8"/>
  <c r="J8" i="8" s="1"/>
  <c r="J12" i="8" l="1"/>
  <c r="G77" i="11"/>
  <c r="G86" i="11" s="1"/>
  <c r="H25" i="6"/>
  <c r="J17" i="6"/>
  <c r="J25" i="6" s="1"/>
  <c r="J10" i="8"/>
  <c r="J14" i="8" l="1"/>
</calcChain>
</file>

<file path=xl/comments1.xml><?xml version="1.0" encoding="utf-8"?>
<comments xmlns="http://schemas.openxmlformats.org/spreadsheetml/2006/main">
  <authors>
    <author>Jaco, Olivier O</author>
  </authors>
  <commentList>
    <comment ref="E6" authorId="0" shapeId="0">
      <text>
        <r>
          <rPr>
            <b/>
            <sz val="9"/>
            <color indexed="81"/>
            <rFont val="Tahoma"/>
            <family val="2"/>
          </rPr>
          <t>Jaco, Olivier O:</t>
        </r>
        <r>
          <rPr>
            <sz val="9"/>
            <color indexed="81"/>
            <rFont val="Tahoma"/>
            <family val="2"/>
          </rPr>
          <t xml:space="preserve">
based on 2016 road and TT actuals</t>
        </r>
      </text>
    </comment>
    <comment ref="F14" authorId="0" shapeId="0">
      <text>
        <r>
          <rPr>
            <b/>
            <sz val="9"/>
            <color indexed="81"/>
            <rFont val="Tahoma"/>
            <family val="2"/>
          </rPr>
          <t>Jaco, Olivier O:</t>
        </r>
        <r>
          <rPr>
            <sz val="9"/>
            <color indexed="81"/>
            <rFont val="Tahoma"/>
            <family val="2"/>
          </rPr>
          <t xml:space="preserve">
assumed not required
</t>
        </r>
      </text>
    </comment>
    <comment ref="F33" authorId="0" shapeId="0">
      <text>
        <r>
          <rPr>
            <b/>
            <sz val="9"/>
            <color indexed="81"/>
            <rFont val="Tahoma"/>
            <family val="2"/>
          </rPr>
          <t>Jaco, Olivier O:</t>
        </r>
        <r>
          <rPr>
            <sz val="9"/>
            <color indexed="81"/>
            <rFont val="Tahoma"/>
            <family val="2"/>
          </rPr>
          <t xml:space="preserve">
organised by a region
</t>
        </r>
      </text>
    </comment>
    <comment ref="H40" authorId="0" shapeId="0">
      <text>
        <r>
          <rPr>
            <b/>
            <sz val="9"/>
            <color indexed="81"/>
            <rFont val="Tahoma"/>
            <family val="2"/>
          </rPr>
          <t>Jaco, Olivier O:</t>
        </r>
        <r>
          <rPr>
            <sz val="9"/>
            <color indexed="81"/>
            <rFont val="Tahoma"/>
            <family val="2"/>
          </rPr>
          <t xml:space="preserve">
based on central gauteng budgeted contribution
</t>
        </r>
      </text>
    </comment>
  </commentList>
</comments>
</file>

<file path=xl/comments2.xml><?xml version="1.0" encoding="utf-8"?>
<comments xmlns="http://schemas.openxmlformats.org/spreadsheetml/2006/main">
  <authors>
    <author>Jaco, Olivier O</author>
  </authors>
  <commentList>
    <comment ref="H23" authorId="0" shapeId="0">
      <text>
        <r>
          <rPr>
            <b/>
            <sz val="9"/>
            <color indexed="81"/>
            <rFont val="Tahoma"/>
            <family val="2"/>
          </rPr>
          <t>Jaco, Olivier O:</t>
        </r>
        <r>
          <rPr>
            <sz val="9"/>
            <color indexed="81"/>
            <rFont val="Tahoma"/>
            <family val="2"/>
          </rPr>
          <t xml:space="preserve">
Service fees did not exceed minimum therefore only minimum fee charged.</t>
        </r>
      </text>
    </comment>
  </commentList>
</comments>
</file>

<file path=xl/sharedStrings.xml><?xml version="1.0" encoding="utf-8"?>
<sst xmlns="http://schemas.openxmlformats.org/spreadsheetml/2006/main" count="1929" uniqueCount="873">
  <si>
    <t>ANNUAL FINANCIAL STATEMENTS</t>
  </si>
  <si>
    <t>South Africa</t>
  </si>
  <si>
    <t>Secretary</t>
  </si>
  <si>
    <t>Treasurer</t>
  </si>
  <si>
    <t>Date of incorporation</t>
  </si>
  <si>
    <t>Executive committee members</t>
  </si>
  <si>
    <t>Legal personality and status</t>
  </si>
  <si>
    <t>Registered office</t>
  </si>
  <si>
    <t xml:space="preserve">BMX </t>
  </si>
  <si>
    <t>Road</t>
  </si>
  <si>
    <t>Track</t>
  </si>
  <si>
    <t>Mountain bike</t>
  </si>
  <si>
    <t>Jeremy Maartens</t>
  </si>
  <si>
    <t>Riders representative</t>
  </si>
  <si>
    <t>Ordinary members</t>
  </si>
  <si>
    <t>Bankers</t>
  </si>
  <si>
    <t>Auditors</t>
  </si>
  <si>
    <t>Level of assurance</t>
  </si>
  <si>
    <t>Preparer</t>
  </si>
  <si>
    <t>These annual financial statements were compiled by:</t>
  </si>
  <si>
    <t>Date of issue</t>
  </si>
  <si>
    <t>The reports and statements set out below comprise the annual financial statements presented to</t>
  </si>
  <si>
    <t>Index</t>
  </si>
  <si>
    <t>Page</t>
  </si>
  <si>
    <t>Independent Auditor's report</t>
  </si>
  <si>
    <t>Executive Committee's Responsibility and Approval</t>
  </si>
  <si>
    <t>Treasurer's report</t>
  </si>
  <si>
    <t>Statement of Financial Position</t>
  </si>
  <si>
    <t>Statement of Cash Flows</t>
  </si>
  <si>
    <t>Accounting policies</t>
  </si>
  <si>
    <t>Notes to the Annual Financial Statements</t>
  </si>
  <si>
    <t>3 - 4</t>
  </si>
  <si>
    <t>5</t>
  </si>
  <si>
    <t>The annual financial statements are prepared in accordance with the association's accounting policies and are based upon appropriate accounting policies consistently applied and supported by reasonable and prudent judgements and estimates.</t>
  </si>
  <si>
    <t>The executive committee acknowledges that they are ultimately responsible for the system of internal financial and operational controls established by the organisation and place considerable importance on maintaining a strong control environment. To enable the executive committee to meet these responsibilities, the committee sets standards for internal control aimed at reducing the risk of error or loss in a cost effective manner as well as ensuring compliance with the association's constitution. The standards include the proper delegation of responsibilities within a clearly defined framework, effective accounting procedures and adequate segregation of duties to ensure an acceptable level of risk. These controls are monitored throughout the association and all employees are required maintain the highest ethical standards in ensuring the association's business is conducted in a manner that in all reasonable circumstances is above reproach. The focus of risk management in the association is on identifying, assessing, managing and monitoring all known forms of risk across the association. While operating risk cannot be fully eliminated, the association endeavours to minimise it by ensuring that appropriate infrastructure, controls, systems and ethical behaviour are applied and managed within predetermined procedures and constraints.</t>
  </si>
  <si>
    <t>The executive committee is satisfied that the association has access to adequate resources to continue in operational existence for the next twelve months.</t>
  </si>
  <si>
    <t>1.</t>
  </si>
  <si>
    <t>Review of activities</t>
  </si>
  <si>
    <t>Main business and operations</t>
  </si>
  <si>
    <t>2.</t>
  </si>
  <si>
    <t>Committee</t>
  </si>
  <si>
    <t>The committee members in office at the date of this report are as follows:</t>
  </si>
  <si>
    <t>Commissioner - Road</t>
  </si>
  <si>
    <t>Commissioner - Mountain Bike</t>
  </si>
  <si>
    <t>Commissioner - Track</t>
  </si>
  <si>
    <t>Commissioner - BMX</t>
  </si>
  <si>
    <t>3.</t>
  </si>
  <si>
    <t>Events after the reporting period</t>
  </si>
  <si>
    <t>The executive committee is not aware of any material reportable event which occurred after the reporting date and up to the date of this report which would impact on the information contained in this report.</t>
  </si>
  <si>
    <t>4.</t>
  </si>
  <si>
    <t>Going concern</t>
  </si>
  <si>
    <t>The financial statements have been prepared on the basis of accounting policies applicable to a going concern. This basis presumes that funds will be available to finance future operations and that the realisation of assets and settlement of liabilities, contingent obligations and commitments will occur in the ordinary course of business.</t>
  </si>
  <si>
    <t>5.</t>
  </si>
  <si>
    <t>Figures in South African Rand</t>
  </si>
  <si>
    <t>Note</t>
  </si>
  <si>
    <t>Current assets</t>
  </si>
  <si>
    <t>Cash and cash equivalents</t>
  </si>
  <si>
    <t>Trade and other receivables</t>
  </si>
  <si>
    <t>Equity</t>
  </si>
  <si>
    <t>Liabilities</t>
  </si>
  <si>
    <t>Trade and other payables</t>
  </si>
  <si>
    <t>Revenue</t>
  </si>
  <si>
    <t>Other income</t>
  </si>
  <si>
    <t>ASSETS</t>
  </si>
  <si>
    <t>Total assets</t>
  </si>
  <si>
    <t>EQUITY AND LIABILITIES</t>
  </si>
  <si>
    <t>Current liabilities</t>
  </si>
  <si>
    <t>Total equity and liabilities</t>
  </si>
  <si>
    <t>Gross surplus realised</t>
  </si>
  <si>
    <t>Administrative expenses</t>
  </si>
  <si>
    <t>Finance cost</t>
  </si>
  <si>
    <t>Retained surplus</t>
  </si>
  <si>
    <t>Cash flows from operating activities</t>
  </si>
  <si>
    <t>Cash receipts from customers</t>
  </si>
  <si>
    <t>Cash paid to suppliers and employees</t>
  </si>
  <si>
    <t>Interest paid</t>
  </si>
  <si>
    <t>Income taxes paid</t>
  </si>
  <si>
    <t>Net cash from (used in) operating activities</t>
  </si>
  <si>
    <t>Cash flows from investing activities</t>
  </si>
  <si>
    <t>Proceeds from sale of equipment</t>
  </si>
  <si>
    <t>Purchases of equipment</t>
  </si>
  <si>
    <t>Net cash from (used in) investing activities</t>
  </si>
  <si>
    <t>Cash flows from financing activities</t>
  </si>
  <si>
    <t>Repayment of borrowings</t>
  </si>
  <si>
    <t>Payment of finance lease obligations</t>
  </si>
  <si>
    <t>Net cash from (used in) financing activities</t>
  </si>
  <si>
    <t>Net increase (decrease) in cash and cash equivalents</t>
  </si>
  <si>
    <t>Cash and cash equivalents at beginning of year</t>
  </si>
  <si>
    <t>Cash and cash equivalents at end of year</t>
  </si>
  <si>
    <t>Presentation of annual financial statements</t>
  </si>
  <si>
    <t>The annual financial statements have been prepared in accordance with the accounting policies as set out below. The annual financial statements have been prepared on the historical cost basis, except as indicated. They are presented in South African Rands.</t>
  </si>
  <si>
    <t>1.1</t>
  </si>
  <si>
    <t>Financial instruments</t>
  </si>
  <si>
    <t>Summary of significant accounting policies</t>
  </si>
  <si>
    <t>1.2</t>
  </si>
  <si>
    <t>Significant judgements applied</t>
  </si>
  <si>
    <t>1.3</t>
  </si>
  <si>
    <t xml:space="preserve">Key sources of estimation uncertainty </t>
  </si>
  <si>
    <t>No significant judgements were made in applying the accounting policies of the association.</t>
  </si>
  <si>
    <t>No key assumptions concerning the future, and other key sources of estimation uncertainty at the reporting date have been identified, that have a significant risk of causing a material adjustment to the carrying amounts of assets and liabilities within the next financial year.</t>
  </si>
  <si>
    <t>1.4</t>
  </si>
  <si>
    <t>An entity shall recognise a financial asset or a financial liability only when the entity becomes a party to the contractual provisions of the instrument.</t>
  </si>
  <si>
    <t>When a financial asset or financial liability is recognised initially, an entity shall measure it at the transaction price (including transaction costs) unless the arrangement constitutes, in effect, a financing transaction. A financing transaction may take place in connection with the sale of goods or services, for example, if payment is deferred beyond normal business terms or is financed at a rate of interest that is not a market rate. If the arrangement constitutes a financing transaction, the entity shall measure the financial asset or financial liability at the present value of the future payments discounted at a market rate of interest for a similar debt instrument.</t>
  </si>
  <si>
    <t>At the end of each reporting period, an entity shall assess whether there is objective evidence of impairment of any financial assets that are measured at cost or amortised cost. If there is objective evidence of impairment, the entity shall recognise an impairment loss in profit or loss immediately.</t>
  </si>
  <si>
    <t>If, in a subsequent period, the amount of an impairment loss decreases and the decrease can be related objectively to an event occurring after the impairment was recognised (such as an improvement in the debtor’s credit rating), the association shall reverse the previously recognised impairment loss either directly or by adjusting an allowance account. The reversal shall not result in a carrying amount of the financial asset (net of any allowance account) that exceeds what the carrying amount would have been had the impairment not previously been recognised and shall be recognised in surplus or deficit immediately.</t>
  </si>
  <si>
    <t>The association recognises the following financial assets and liabilities:</t>
  </si>
  <si>
    <t>Trade and other receivables are recognised initially at the transaction price and subsequently at the undiscounted amount of the cash or other consideration expected to be received.</t>
  </si>
  <si>
    <t>Trade and other payables are initially measured at fair value, less any transaction costs and are subsequently measured at amortised cost, using the effective interest rate method.</t>
  </si>
  <si>
    <t>Cash and cash equivalents includes cash on hand and cash in held at financial institutions in accounts registered in the name of the association. These balances are initially and subsequently measured at their amortised cost.</t>
  </si>
  <si>
    <t>Other financial assets</t>
  </si>
  <si>
    <t>Other financial assets are measured at amortised cost using the effective interest rate method</t>
  </si>
  <si>
    <t>1.5</t>
  </si>
  <si>
    <t>The association classifies revenue in one of the following classes:</t>
  </si>
  <si>
    <t>Membership fees</t>
  </si>
  <si>
    <t>Day licence fees</t>
  </si>
  <si>
    <t>Rider event levies</t>
  </si>
  <si>
    <t>Event calendar registration fees</t>
  </si>
  <si>
    <t>As all riders participating in events sanctioned and held under the rules of the national governing body will enjoy a minimum standard of prescribed benefits, the governing body requires all participants to be duly licenced riders with the national governing body. If a participant is not a licenced rider they are required to purchase a licence to participate in said sanctioned event from the governing body (a day licence).</t>
  </si>
  <si>
    <t>Each event organiser who wishes for its event to be recognised as an event sanctioned under the rules and regulations of the national governing body shall pay a fee to the region in which the event will take place to cover administrative costs in updating the national cycling calendar</t>
  </si>
  <si>
    <t>Figures in South African Rands</t>
  </si>
  <si>
    <t>Trade receivables</t>
  </si>
  <si>
    <t>Cash and cash equivalents consist of:</t>
  </si>
  <si>
    <t>Cash on hand</t>
  </si>
  <si>
    <t>Bank balances</t>
  </si>
  <si>
    <t>Unutilised grants and subsidies</t>
  </si>
  <si>
    <t>Trust and affiliate funds</t>
  </si>
  <si>
    <t>Cash (used in) generated from operations</t>
  </si>
  <si>
    <t>Net surplus (deficit) for the year</t>
  </si>
  <si>
    <t>Adjustments for:</t>
  </si>
  <si>
    <t>Depreciation</t>
  </si>
  <si>
    <t>Impairment loss</t>
  </si>
  <si>
    <t>Movement in provision for doubtful debts</t>
  </si>
  <si>
    <t>Changes in working capital:</t>
  </si>
  <si>
    <t>6.</t>
  </si>
  <si>
    <t>7.</t>
  </si>
  <si>
    <t>Expenditure occurred in realising the objectives of GEC</t>
  </si>
  <si>
    <t>8.</t>
  </si>
  <si>
    <t>9.</t>
  </si>
  <si>
    <t>Last Year</t>
  </si>
  <si>
    <t>Account</t>
  </si>
  <si>
    <t/>
  </si>
  <si>
    <t>8000/000</t>
  </si>
  <si>
    <t>8400/000</t>
  </si>
  <si>
    <t>3200/000</t>
  </si>
  <si>
    <t>Bank Charges</t>
  </si>
  <si>
    <t>Date</t>
  </si>
  <si>
    <t>Entry Type</t>
  </si>
  <si>
    <t>Reference</t>
  </si>
  <si>
    <t>Contra Acc.</t>
  </si>
  <si>
    <t>Description</t>
  </si>
  <si>
    <t>(If Avail)</t>
  </si>
  <si>
    <t>Interest received</t>
  </si>
  <si>
    <t>Average interest rate earned</t>
  </si>
  <si>
    <t>Total interest received</t>
  </si>
  <si>
    <t>Weighted average balance</t>
  </si>
  <si>
    <t>number of days</t>
  </si>
  <si>
    <t>balance</t>
  </si>
  <si>
    <t>weighting</t>
  </si>
  <si>
    <t xml:space="preserve">Total  </t>
  </si>
  <si>
    <t>Effective rate</t>
  </si>
  <si>
    <t>Bank charges</t>
  </si>
  <si>
    <t>Calendar fees</t>
  </si>
  <si>
    <t>Customer control account</t>
  </si>
  <si>
    <t>Amount</t>
  </si>
  <si>
    <t>9000/000</t>
  </si>
  <si>
    <t>General and administrative expenses</t>
  </si>
  <si>
    <t>9</t>
  </si>
  <si>
    <t>10</t>
  </si>
  <si>
    <t>11</t>
  </si>
  <si>
    <t>Cash eceipts from customers</t>
  </si>
  <si>
    <t>Opening balance trade receivables</t>
  </si>
  <si>
    <t>Closing balance trade receivables</t>
  </si>
  <si>
    <t>Opening balance trade payables</t>
  </si>
  <si>
    <t>COS</t>
  </si>
  <si>
    <t>General and admin expenses</t>
  </si>
  <si>
    <t>Closing balance trade payables</t>
  </si>
  <si>
    <t>Rounding</t>
  </si>
  <si>
    <t>Rider affiliation fees received from Cycling South Africa</t>
  </si>
  <si>
    <t>1.6</t>
  </si>
  <si>
    <t>1.7</t>
  </si>
  <si>
    <t>By differentiating between expenditure in this manner it allows the executive committee to gain perspective on how it is adding value to advancement of the sport of cycling and achieving its stated objectives.</t>
  </si>
  <si>
    <t>1.8</t>
  </si>
  <si>
    <t>CSA licence affiliation distribution</t>
  </si>
  <si>
    <t>Governance</t>
  </si>
  <si>
    <t>Objectives of association</t>
  </si>
  <si>
    <t>Financial instruments (Continued)</t>
  </si>
  <si>
    <t>1.9</t>
  </si>
  <si>
    <t>Cash flows</t>
  </si>
  <si>
    <t>Statement of cash flows calculated using the direct method</t>
  </si>
  <si>
    <t>Confirm discipline heads (Meeting date where elected?)</t>
  </si>
  <si>
    <t>Fix page numbering once finalised</t>
  </si>
  <si>
    <t>A financial instrument is a contract that gives rise to a financial asset of one entity and a financial liability or equity instrument of another entity.</t>
  </si>
  <si>
    <t>Other income is measured at the fair value of the consideration received or receivable and represents the amounts receivable for goods or services provided that do not form part of the core business activities of the association, net of discounts and value added tax (where applicable).</t>
  </si>
  <si>
    <t>*</t>
  </si>
  <si>
    <t>Revenue is recognised to the extent that it is probable that the economic benefits will flow to the Group</t>
  </si>
  <si>
    <t>and the revenue can be reliably measured, regardless of when the payment is being made. Revenue is</t>
  </si>
  <si>
    <t>measured at the fair value of the consideration received or receivable, taking into account contractually</t>
  </si>
  <si>
    <t>defined terms of payment and excluding taxes.</t>
  </si>
  <si>
    <t>Sundry revenue consists of recoveries from clients and sales of consumables.</t>
  </si>
  <si>
    <t>effective interest rate (EIR), which is the rate that exactly discounts the estimated future cash payments or</t>
  </si>
  <si>
    <t>receipts through the expected life of the financial instrument or a shorter period, where appropriate, to the</t>
  </si>
  <si>
    <t>net carrying amount of the financial asset or liability. Interest income is included in finance income in profit</t>
  </si>
  <si>
    <t>or loss.</t>
  </si>
  <si>
    <t>BORROWING COSTS</t>
  </si>
  <si>
    <t>Borrowing costs are expensed as incurred, except where these are directly attributable to the acquisition,</t>
  </si>
  <si>
    <t>construction or production of a qualifying asset, in which case they are capitalised as part of the cost of the</t>
  </si>
  <si>
    <t>asset.</t>
  </si>
  <si>
    <t>Borrowing costs consist of interest and other costs that an entity incurs in connection with the borrowing of</t>
  </si>
  <si>
    <t>funds.</t>
  </si>
  <si>
    <t>1.9 EMPLOYEE BENEFITS</t>
  </si>
  <si>
    <t>Short-term benefits</t>
  </si>
  <si>
    <t>All salaries and short-term employee benefits are expensed as incurred through profit or loss in the statements</t>
  </si>
  <si>
    <t>of profit or loss and other comprehensive income.</t>
  </si>
  <si>
    <t>PROPERTY AND EQUIPMENT</t>
  </si>
  <si>
    <t>Property and equipment are stated at cost, net of accumulated depreciation and accumulated impairment</t>
  </si>
  <si>
    <t>losses. Such cost includes the cost of replacing part of the property and equipment and borrowing costs</t>
  </si>
  <si>
    <t>for long-term construction projects if the recognition criteria are met. When significant parts of property</t>
  </si>
  <si>
    <t>and equipment are required to be replaced at intervals, the parts are recognised as individual assets with</t>
  </si>
  <si>
    <t>specific useful lives and depreciated accordingly.</t>
  </si>
  <si>
    <t>All other repair and maintenance costs are recognised in profit or loss as incurred.</t>
  </si>
  <si>
    <t>The useful lives, residual values and methods of depreciation are reassessed annually and adjusted</t>
  </si>
  <si>
    <t>prospectively, if appropriate.</t>
  </si>
  <si>
    <t>Owner-occupied property is classified as land and buildings and is carried under the revaluation model.</t>
  </si>
  <si>
    <t>Any revaluation surplus is recognised in other comprehensive income and credited to the asset’s revaluation</t>
  </si>
  <si>
    <t>reserve included in the equity section of the statements of financial position, except to the extent that it</t>
  </si>
  <si>
    <t>reverses a revaluation decrease of the same asset previously recognised in the statements of profit or loss</t>
  </si>
  <si>
    <t>and other comprehensive income, in which case the increase is recognised in profit or loss. A revaluation</t>
  </si>
  <si>
    <t>deficit is recognised in profit or loss, except to the extent that it offsets an existing surplus on the same asset</t>
  </si>
  <si>
    <t>recognised in the asset revaluation reserve.</t>
  </si>
  <si>
    <t>Valuations are performed frequently to ensure that the fair value of a revalued asset does not differ materially</t>
  </si>
  <si>
    <t>from its carrying amount. Accumulated depreciation at the revaluation date is eliminated against the gross</t>
  </si>
  <si>
    <t>carrying amount of the asset and the net amount is restated to the revalued amount of the asset. Upon</t>
  </si>
  <si>
    <t>disposal, any revaluation reserve relating to the particular asset being sold is transferred to retained earnings.</t>
  </si>
  <si>
    <t>Each part of an item of property and equipment with a cost significant in relation to the total cost of the item</t>
  </si>
  <si>
    <t>is depreciated separately. Where the recoverable amount of owner-occupied property is higher than cost,</t>
  </si>
  <si>
    <t>no depreciation is charged. The depreciation charge for each period is recognised in profit or loss.</t>
  </si>
  <si>
    <t>Depreciation is calculated on a straight-line basis over the estimated useful lives of the assets as follows:</t>
  </si>
  <si>
    <t>Category Useful life</t>
  </si>
  <si>
    <t>Computer hardware 3 to 5 years</t>
  </si>
  <si>
    <t>Telephone equipment 5 to 7 years</t>
  </si>
  <si>
    <t>Office equipment 6 to 8 years</t>
  </si>
  <si>
    <t>Furniture and fittings 6 to 10 years</t>
  </si>
  <si>
    <t>Leasehold improvements period of lease</t>
  </si>
  <si>
    <t>Owner-occupied property 50 years</t>
  </si>
  <si>
    <t>Motor vehicles 5 to 7 years</t>
  </si>
  <si>
    <t>An item of property and equipment is derecognised upon disposal or when no future economic benefits</t>
  </si>
  <si>
    <t>are expected from its use or disposal.</t>
  </si>
  <si>
    <t>Any gain or loss arising on derecognition of the asset (calculated as the difference between the net disposal</t>
  </si>
  <si>
    <t>proceeds and the carrying amount of the asset) is included in profit or loss when the asset is derecognised.</t>
  </si>
  <si>
    <t>IMPAIRMENT OF NON-FINANCIAL ASSETS</t>
  </si>
  <si>
    <t>The Group assesses at each reporting date whether there is an indication that an asset may be impaired.</t>
  </si>
  <si>
    <t>If any such indication exists, or when annual impairment testing for an asset is required, the Group estimates</t>
  </si>
  <si>
    <t>the asset’s recoverable amount. An asset’s recoverable amount is the higher of an asset’s or cash-generating</t>
  </si>
  <si>
    <t>unit’s fair value less costs to sell and its value in use and is determined for an individual asset, unless the asset</t>
  </si>
  <si>
    <t>does not generate cash flows that are largely independent of those from other assets or group of assets.</t>
  </si>
  <si>
    <t>Where the carrying amount of the assets exceeds its recoverable amount, the asset is considered impaired</t>
  </si>
  <si>
    <t>and is written down to its recoverable amount with the impairment recognised in profit and loss. In assessing</t>
  </si>
  <si>
    <t>value in use, the estimated cash flows are discounted to their present value using a pre-tax discount rate</t>
  </si>
  <si>
    <t>that reflects current market assessments of the time value of money and the risks specific to the asset. In</t>
  </si>
  <si>
    <t>determining fair value less costs to sell, an appropriate valuation model is used. These calculations are</t>
  </si>
  <si>
    <t>corroborated by valuation multiples, quoted share prices for publicly traded subsidiaries or other available</t>
  </si>
  <si>
    <t>fair value indicators.</t>
  </si>
  <si>
    <t>The Group bases its impairment calculation on detailed budgets and forecast calculations, which are</t>
  </si>
  <si>
    <t>prepared separately for each of the Group’s cash-generating units to which the individual assets are</t>
  </si>
  <si>
    <t>allocated. These budgets and forecast calculations generally cover a period of five years.</t>
  </si>
  <si>
    <t>For assets excluding goodwill, an assessment is made at each reporting date as to whether there is any</t>
  </si>
  <si>
    <t>indication that previously recognised impairment losses may no longer exist or may have decreased. If</t>
  </si>
  <si>
    <t>such indication exists, the Group makes an estimate of the recoverable amount. A previously recognised</t>
  </si>
  <si>
    <t>impairment loss is reversed only if there has been a change in the estimates used to determine the asset’s</t>
  </si>
  <si>
    <t>recoverable amount since the last impairment loss was recognised. If that is the case, the carrying amount</t>
  </si>
  <si>
    <t>of the asset is increased to its recoverable amount. That increased amount cannot exceed the carrying</t>
  </si>
  <si>
    <t>amount that would have been determined, net of depreciation, had no impairment loss been recognised</t>
  </si>
  <si>
    <t>for the asset in prior years. Such reversal is recognised in profit and loss unless the asset is carried at a</t>
  </si>
  <si>
    <t>revalued amount, in which case the reversal is treated as a revaluation increase.</t>
  </si>
  <si>
    <t>FINANCIAL INSTRUMENTS</t>
  </si>
  <si>
    <t>Financial assets and financial liabilities are recognised in the statements of financial position when the</t>
  </si>
  <si>
    <t>Group becomes party to the contractual provisions of the instrument.</t>
  </si>
  <si>
    <t>Financial assets</t>
  </si>
  <si>
    <t>Initial recognition and measurement</t>
  </si>
  <si>
    <t>Financial assets within the scope of IAS 39 are classified as loans and receivables.</t>
  </si>
  <si>
    <t>The Group determines the classification of its financial assets at initial recognition. All financial assets are</t>
  </si>
  <si>
    <t>recognised initially at fair value plus, in the case of investments not at fair value through profit or loss, directly</t>
  </si>
  <si>
    <t>attributable transaction costs.</t>
  </si>
  <si>
    <t>Subsequent measurement</t>
  </si>
  <si>
    <t>The subsequent measurement of financial assets depends on their classification as follows:</t>
  </si>
  <si>
    <t>Loans and receivables</t>
  </si>
  <si>
    <t>Loans and receivables are non-derivative financial assets with fixed or determinable payments that are not</t>
  </si>
  <si>
    <t>quoted in an active market.</t>
  </si>
  <si>
    <t>After initial measurement, such financial assets are subsequently measured at amortised cost using the</t>
  </si>
  <si>
    <t>effective interest rate (EIR) method, less impairment. Amortised cost is calculated by taking into account</t>
  </si>
  <si>
    <t>any discount or premium on acquisition and fees or costs that are an integral part of the EIR. The EIR</t>
  </si>
  <si>
    <t>amortisation is included in finance income in the statements of profit or loss and other comprehensive</t>
  </si>
  <si>
    <t>income. The Group’s loans and receivables include cash and cash equivalents and accounts receivable.</t>
  </si>
  <si>
    <t>Cash and cash equivalents comprise cash on hand, current and call accounts.</t>
  </si>
  <si>
    <t>Cash and cash equivalents are subsequently carried at amortised cost using the effective interest rate</t>
  </si>
  <si>
    <t>method less allowance for any impairment as appropriate.</t>
  </si>
  <si>
    <t>Accounts receivables</t>
  </si>
  <si>
    <t>Trade receivables and loan receivables are subsequently carried at amortised cost using the effective</t>
  </si>
  <si>
    <t>interest rate method less allowance for any impairment as appropriate.</t>
  </si>
  <si>
    <t>1.16 IMPAIRMENT OF FINANCIAL ASSETS</t>
  </si>
  <si>
    <t>IMPAIRMENT OF FINANCIAL ASSETS continued</t>
  </si>
  <si>
    <t>the difference between the asset’s carrying amount and the present value of the estimated future cash flows</t>
  </si>
  <si>
    <t>(excluding future expected credit losses that have not yet been incurred). The present value of the estimated</t>
  </si>
  <si>
    <t>future cash flows is discounted at the financial asset’s original effective interest rate. If a loan has a variable</t>
  </si>
  <si>
    <t>interest rate, the discount rate for measuring any impairment loss is the current effective interest rate.</t>
  </si>
  <si>
    <t>The carrying amount of the asset is reduced through the use of an allowance account and the amount of</t>
  </si>
  <si>
    <t>the loss is recognised in profit or loss.</t>
  </si>
  <si>
    <t>FINANCIAL LIABILITIES</t>
  </si>
  <si>
    <t>The Group’s financial liabilities include accounts payable and loans and borrowings (which include interest</t>
  </si>
  <si>
    <t>and non-interest-bearing borrowings).</t>
  </si>
  <si>
    <t>The Group determines the classification of its liabilities at initial recognition.</t>
  </si>
  <si>
    <t>All financial liabilities are recognised initially at fair value plus, in the case of loans and borrowings, directly</t>
  </si>
  <si>
    <t>The subsequent measurement of financial liabilities depends on their classification as follows:</t>
  </si>
  <si>
    <t>Loans and borrowings</t>
  </si>
  <si>
    <t>using the effective interest rate method. Gains and losses are recognised in profit or loss when the liabilities</t>
  </si>
  <si>
    <t>are derecognised as well as through the effective interest rate (EIR) method amortisation process.</t>
  </si>
  <si>
    <t>Amortised cost is calculated by taking into account any discount or premium on acquisition and fees or</t>
  </si>
  <si>
    <t>costs that are an integral part of the EIR. The EIR amortisation is included in finance costs in the statements</t>
  </si>
  <si>
    <t>DERECOGNITION OF FINANCIAL INSTRUMENTS</t>
  </si>
  <si>
    <t>A financial asset (or, where applicable a part of a financial asset or part of a group of similar financial</t>
  </si>
  <si>
    <t>assets) is derecognised when:</t>
  </si>
  <si>
    <t>• The rights to receive cash flows from the assets have expired; and</t>
  </si>
  <si>
    <t>• The Group has transferred its rights to receive cash flows from the assets or has assumed an obligation</t>
  </si>
  <si>
    <t>to pay the received cash flows in full without material delay to a third party under a ‘pass-through’</t>
  </si>
  <si>
    <t>arrangement; and either (a) the Group has transferred substantially all the risks and rewards of the</t>
  </si>
  <si>
    <t>asset, or (b) the Group has neither transferred nor retained substantially all the risks and rewards of the</t>
  </si>
  <si>
    <t>asset, but has transferred control of the asset.</t>
  </si>
  <si>
    <t>When the Group has transferred its rights to receive cash flows from an asset or has entered into a passthrough</t>
  </si>
  <si>
    <t>arrangement, it evaluates if and to what extent it has retained the risks and rewards of ownership.</t>
  </si>
  <si>
    <t>When it has neither transferred nor retained substantially all of the risks and rewards of the asset, nor</t>
  </si>
  <si>
    <t>transferred control of the asset, the asset is recognised to the extent of the Group’s continuing involvement</t>
  </si>
  <si>
    <t>in the asset. In that case, the Group also recognises an associated liability. The transferred asset and the</t>
  </si>
  <si>
    <t>associated liability are measured on a basis that reflects the rights and obligations that the Group has</t>
  </si>
  <si>
    <t>retained.</t>
  </si>
  <si>
    <t>Continuing involvement that takes the form of a guarantee over the transferred asset is measured at the</t>
  </si>
  <si>
    <t>lower of the original carrying amount of the asset and the maximum amount of consideration that the</t>
  </si>
  <si>
    <t>Group could be required to repay.</t>
  </si>
  <si>
    <t>A financial liability is derecognised when the obligation under the liability is discharged or cancelled or</t>
  </si>
  <si>
    <t>expires.</t>
  </si>
  <si>
    <t>When an existing financial liability is replaced by another from the same lender on substantially different</t>
  </si>
  <si>
    <t>terms, or the terms of an existing liability are substantially modified, such an exchange or modification is</t>
  </si>
  <si>
    <t>treated as a derecognition of the original liability and the recognition of a new liability, and the difference in</t>
  </si>
  <si>
    <t>the respective carrying amounts is recognised in profit or loss.</t>
  </si>
  <si>
    <t>1.19 OFFSETTING OF FINANCIAL INSTRUMENTS</t>
  </si>
  <si>
    <t>position if, and only if, there is a currently enforceable legal right to offset the recognised amounts and there</t>
  </si>
  <si>
    <t>is an intention to settle on a net basis, or to realise the assets and settle the liabilities simultaneously.</t>
  </si>
  <si>
    <t>KEY SOURCES OF ESTIMATION UNCERTAINTY</t>
  </si>
  <si>
    <t>In the process of applying the Group’s accounting policies, management has made the following</t>
  </si>
  <si>
    <t>judgements, estimates and assumptions that potentially have the most significant effect on the amounts</t>
  </si>
  <si>
    <t>recognised in the financial statements.</t>
  </si>
  <si>
    <t>Accrued revenue</t>
  </si>
  <si>
    <t>Revenue is accrued for projects in progress at year-end. Revenue is accrued based on the stage of</t>
  </si>
  <si>
    <t>completion of each project. The stage of completion is based on the estimated work required to complete</t>
  </si>
  <si>
    <t>the project.</t>
  </si>
  <si>
    <t>Owner-occupied property</t>
  </si>
  <si>
    <t>The Group measures owner-occupied property at revalued amounts with changes in fair value being</t>
  </si>
  <si>
    <t>recognised in other comprehensive income.</t>
  </si>
  <si>
    <t>Useful lives and residual values</t>
  </si>
  <si>
    <t>Property and equipment are depreciated over their useful lives taking into account residual values, where</t>
  </si>
  <si>
    <t>appropriate.</t>
  </si>
  <si>
    <t>Intangible assets are amortised over the useful lives considered appropriate by management.</t>
  </si>
  <si>
    <t>Assessments of useful lives and residual values are performed annually after considering factors such</t>
  </si>
  <si>
    <t>as technological innovation, maintenance programmes, relevant market information and management</t>
  </si>
  <si>
    <t>consideration.</t>
  </si>
  <si>
    <t>10.</t>
  </si>
  <si>
    <t>Events after reporting period</t>
  </si>
  <si>
    <t>The association is not aware of any events that have taken place after the year end to the date of this report which could materially impact on the information contained within this report.</t>
  </si>
  <si>
    <t>11.</t>
  </si>
  <si>
    <t>Commitments and contingencies</t>
  </si>
  <si>
    <t>12.</t>
  </si>
  <si>
    <t>Related parties</t>
  </si>
  <si>
    <t>An entity is related to a reporting entity if any of the following conditions applies:</t>
  </si>
  <si>
    <t>During the period under review the following resolutions were proposed and passed after being carried by a vote as required in the association's constitution:</t>
  </si>
  <si>
    <t>Revenue is recognised to the extent that it is probable that the economic benefits will flow to the Group and the revenue can be reliably measured, regardless of when the payment is being made</t>
  </si>
  <si>
    <t>For all financial instruments measured at amortised cost, interest income or expense is recorded using the effective interest rate (EIR), which is the rate that exactly discounts the estimated future cash payments or receipts through the expected life of the financial instrument or a shorter period, where appropriate, to the net carrying amount of the financial asset or liability. Interest income is included in finance income in profit or loss</t>
  </si>
  <si>
    <t>For all financial instruments measured at amortised cost, interest income or expense is recorded using the effective interest rate (EIR), which is the rate that exactly discounts the estimated future cash payments or receipts through the expected life of the financial instrument or a shorter period, where appropriate, to the net carrying amount of the financial asset or liability. Interest income is included in other income in surplus or deficit realised.</t>
  </si>
  <si>
    <t>The Group assesses at each reporting date whether there is any objective evidence that a financial asset or group of financial assets is impaired. A financial asset or a group of financial assets is deemed to be impaired if, and only if, there is objective evidence of impairment as a result of one or more events that has occurred after the initial recognition of the asset (an incurred loss event) and that loss event has an impact on the estimated future cash flows of the financial asset or the Group of financial assets that can be reliably estimated.</t>
  </si>
  <si>
    <t>For financial assets carried at amortised cost the Group first assesses individually whether objective evidence of impairment exists individually for financial assets that are individually significant, or collectively for financial assets that are not individually significant. If the Group determines that no objective evidence of impairment exists for an individually assessed financial asset, whether significant or not, it includes the asset in a group of financial assets with similar credit risk characteristics and collectively assesses them for impairment. Assets that are individually assessed for impairment and for which an impairment loss is, or continues to be,recognised are not included in a collective assessment of impairment.</t>
  </si>
  <si>
    <t>If there is objective evidence that an impairment loss has been incurred, the amount of the loss is measured as the difference between the asset’s carrying amount and the present value of the estimated future cash flows (excluding future expected credit losses that have not yet been incurred). The present value of the estimated future cash flows is discounted at the financial asset’s original effective interest rate. If a loan has a variable interest rate, the discount rate for measuring any impairment loss is the current effective interest rate. The carrying amount of the asset is reduced through the use of an allowance account and the amount of the loss is recognised in profit or loss.</t>
  </si>
  <si>
    <t>Interest income continues to be accrued on the reduced carrying amount and is accrued using the rate of interest used to discount the future cash flows for the purpose of measuring the impairment loss. The interest income is recorded as part of finance income in the statements of profit or loss and other comprehensive income. Loans, together with the associated allowance, are written off when there is no realistic prospect of future recovery and all collateral has been realised or has been transferred to the Group. If, in a subsequent year, the amount of the estimated impairment loss increases or decreases because of an event occurring after the impairment was recognised, the previously recognised impairment loss is increased or decreased by adjusting the allowance account. If a future write-off is later recovered, the recovery is credited to finance costs in the statements of profit or loss and other comprehensive income.</t>
  </si>
  <si>
    <t>Impairment of financial instruments</t>
  </si>
  <si>
    <t>The association assesses at each reporting date whether there is any objective evidence that a financial asset or group of financial assets is impaired. A financial asset or a group of financial assets is deemed to be impaired if, and only if, there is objective evidence of impairment as a result of one or more events that has occurred after the initial recognition of the asset (an incurred loss event) and that loss event has an impact on the estimated future cash flows of the financial asset or the Group of financial assets that can be reliably estimated.</t>
  </si>
  <si>
    <t>If there is objective evidence that an impairment loss has been incurred, the amount of the loss is measured as the difference between the asset’s carrying amount and the present value of the estimated future cash flows (excluding future expected credit losses that have not yet been incurred). The present value of the estimated future cash flows is discounted at the financial asset’s original effective interest rate. If a loan has a variable interest rate, the discount rate for measuring any impairment loss is the current effective interest rate. The carrying amount of the asset is reduced through the use of an allowance account and the amount of the loss is recognised in surplus or deficit realised.</t>
  </si>
  <si>
    <t>Interest income continues to be accrued on the reduced carrying amount and is accrued using the rate of interest used to discount the future cash flows for the purpose of measuring the impairment loss. The interest income is recorded as part of finance income in the statements of profit or loss and other comprehensive income. Loans, together with the associated allowance, are written off when there is no realistic prospect of future recovery and all collateral has been realised or has been transferred to the association. If, in a subsequent year, the amount of the estimated impairment loss increases or decreases because of an event occurring after the impairment was recognised, the previously recognised impairment loss is increased or decreased by adjusting the allowance account. If a future write-off is later recovered, the recovery is credited to finance costs in the statements of surplus or deficit realised.</t>
  </si>
  <si>
    <t>Financial liabilities within the scope of IAS 39 are classified as loans and borrowings as appropriate. The Group’s financial liabilities include accounts payable and loans and borrowings (which include interest and non-interest-bearing borrowings). The Group determines the classification of its liabilities at initial recognition. All financial liabilities are recognised initially at fair value plus, in the case of loans and borrowings, directly attributable transaction costs.</t>
  </si>
  <si>
    <t>After initial recognition, interest-bearing loans and borrowings are subsequently measured at amortised cost using the effective interest rate method. Gains and losses are recognised in profit or loss when the liabilities are derecognised as well as through the effective interest rate (EIR) method amortisation process. Amortised cost is calculated by taking into account any discount or premium on acquisition and fees or costs that are an integral part of the EIR. The EIR amortisation is included in finance costs in the statements of profit or loss and other comprehensive income.</t>
  </si>
  <si>
    <t>Financial assets and financial liabilities are offset and the net amount reported in the statements of financial position if, and only if, there is a currently enforceable legal right to offset the recognised amounts and there is an intention to settle on a net basis, or to realise the assets and settle the liabilities simultaneously.</t>
  </si>
  <si>
    <t>Financial assets and financial liabilities are offset and the net amount reported in the statements of financial position if, and only if, there is a currently enforceable legal right to offset the recognised amounts and there is an intention to settle on a net basis, or to realise the assets and settle the liabilities simultaneously. This is most often the case in dealings with Cycling South Africa where amounts due or receivable for any given period are settled on a net basis by mutual agreement.</t>
  </si>
  <si>
    <t>1.10</t>
  </si>
  <si>
    <t>5200/000</t>
  </si>
  <si>
    <t>Retained Income / (Accumulated Loss)</t>
  </si>
  <si>
    <t>Officials' Registration &amp; Race Fees</t>
  </si>
  <si>
    <t>Rider Development</t>
  </si>
  <si>
    <t>Expenses for which no supporting documents are available</t>
  </si>
  <si>
    <t>1.12</t>
  </si>
  <si>
    <t>Expenses without supp docs</t>
  </si>
  <si>
    <t>Website?</t>
  </si>
  <si>
    <t>Formal notice of AGM in the manner prescribed</t>
  </si>
  <si>
    <t>Possibly include segment dealing with powers of officcials in AFS</t>
  </si>
  <si>
    <t>Include provisions for different type of resolutions (ordinary and special)</t>
  </si>
  <si>
    <t>Ordinary, at a member meeting or otherwise - 50% or more of the voting power (proxy forms sent out electronically if unable to attend. Should form not be received and not present at meeting the members present at the meeting constitute the voting powers relevant to the resolution under vote</t>
  </si>
  <si>
    <t>Special resolution (75% of the voting powers as described above)</t>
  </si>
  <si>
    <t xml:space="preserve">To perform a fundamental transaction (dispose of a majority of its assets, acquire assets that are in excess of 20% of the associations net asset value, </t>
  </si>
  <si>
    <t>To amend constitution</t>
  </si>
  <si>
    <t>To rattify actions of executive committee members in excess of their authority</t>
  </si>
  <si>
    <t>Rounded</t>
  </si>
  <si>
    <t>Balance</t>
  </si>
  <si>
    <t>GL Code</t>
  </si>
  <si>
    <t>GL Description</t>
  </si>
  <si>
    <t>Cumulative balance</t>
  </si>
  <si>
    <t>WORKINGS</t>
  </si>
  <si>
    <t>Workings and calculations</t>
  </si>
  <si>
    <t>Cover</t>
  </si>
  <si>
    <t>AFS - Cover page</t>
  </si>
  <si>
    <t>General info</t>
  </si>
  <si>
    <t>AFS - General information</t>
  </si>
  <si>
    <t>AFS - Index of contents</t>
  </si>
  <si>
    <t>Resp&amp;Approval</t>
  </si>
  <si>
    <t>AFS - Committee's responsibility and approval</t>
  </si>
  <si>
    <t>Treasurer report</t>
  </si>
  <si>
    <t>AFS - Treasurer report</t>
  </si>
  <si>
    <t>SOFP</t>
  </si>
  <si>
    <t>SOCI</t>
  </si>
  <si>
    <t>SOCE</t>
  </si>
  <si>
    <t>SCF</t>
  </si>
  <si>
    <t>Acc policies</t>
  </si>
  <si>
    <t>AFS - Accounting policies relevant to annual financial statements</t>
  </si>
  <si>
    <t>Notes</t>
  </si>
  <si>
    <t>AFS - Notes to the annual financial statements</t>
  </si>
  <si>
    <t>Statement of Changes in Available Reserves</t>
  </si>
  <si>
    <t>TB 2016</t>
  </si>
  <si>
    <t>GL 2016</t>
  </si>
  <si>
    <t>Provision for bad debts</t>
  </si>
  <si>
    <t>**</t>
  </si>
  <si>
    <t>Event participation affiliation fees</t>
  </si>
  <si>
    <t>Day Licence fees</t>
  </si>
  <si>
    <t>Officials' Registration &amp; Race Fees paid</t>
  </si>
  <si>
    <t>Related parties are entities or persons that are related to the association in one of the following ways:</t>
  </si>
  <si>
    <t>A person or a close member of that person's family is related to the association if that person:</t>
  </si>
  <si>
    <t>(i) has control or joint control over the association;</t>
  </si>
  <si>
    <t>(ii) has significant influence over the association; or</t>
  </si>
  <si>
    <t>(iii) is a member of the key management personnel of the association or of any other entity or structure governed by Cycling South Africa.</t>
  </si>
  <si>
    <t>(i) The entity and the association are members of the same group (In this instance mutually falling under the governance structures of Cycling South Africa would qualify).</t>
  </si>
  <si>
    <t>(ii) The entity is controlled or jointly controlled by a person identified above.</t>
  </si>
  <si>
    <t>(iii) A person identified in (i) has significant influence over the entity or is a member of the key management personnel of the entity (or of a parent of the entity).</t>
  </si>
  <si>
    <t>(iv) The entity, or any member of a group of which it is a part, provides key management personnel services to the reporting entity or to the parent of the association.</t>
  </si>
  <si>
    <t>Transactions with related parties</t>
  </si>
  <si>
    <t>Vacant</t>
  </si>
  <si>
    <t xml:space="preserve">The association is committed to prudent financial management and has endeavoured to keep costs as low as what the current size and level of complexity allows for. </t>
  </si>
  <si>
    <t>The minutes of all meetings held during the course of the financial year are available upon request from the association's registered offices. The treasurer would however like to highlight the following areas of concern that have been identified relating to the financial affairs of the association:</t>
  </si>
  <si>
    <t>i.i</t>
  </si>
  <si>
    <t>i.ii</t>
  </si>
  <si>
    <t>The level of detail, transparency and relevant information included in these financial statement are testament to the commitment of the association to continue and build on the prudent financial management of the association.</t>
  </si>
  <si>
    <t>i</t>
  </si>
  <si>
    <t>4</t>
  </si>
  <si>
    <t>Country of incorporation and domicile</t>
  </si>
  <si>
    <t>The executive committee is of the opinion, based on the information at their disposal, that the system of internal controls provide reasonable assurance that the financial records may be relied on for the preparation of the annual financial statements. However, any system of internal financial control can provide only reasonable and not absolute assurance against material misstatement or loss.</t>
  </si>
  <si>
    <t>Future plans aimed at continued growth towards the goals of the association include, but are not limited to, brainstorming ideas to again build a culture of competition between regions and provinces where  the riders want to be a representative for their region and proudly display its colours. We would like to clearly define a selection process with criteria that riders need to comply with in order to be eligible for selection and for riders to actively strive to meet these criteria. Building on this the association would like to pioneer a series of inter club races within the region as well as the province to start fostering this culture of regional rivalry and ultimately build towards a series of inter provincial events  where riders can only participate if they are selected by their province.</t>
  </si>
  <si>
    <t>Decisions resolved at meetings of the members</t>
  </si>
  <si>
    <t>At the end of each reporting period, an entity shall measure financial instruments as follows, without any deduction for transaction costs the entity may incur on sale or other disposal: (a) Debt instruments that meet the conditions shall be measured at amortised cost using the effective interest method. Cash and debt instruments that are classified as current assets or current liabilities shall be measured at the undiscounted amount of the cash or other consideration expected to be paid or received (i.e., net of impairment) unless the arrangement constitutes, in effect, a financing transaction. If the arrangement constitutes a financing transaction, the entity shall measure the debt instrument at the present value of the future payments discounted at a market rate of interest for a similar debt instrument.</t>
  </si>
  <si>
    <t>For financial assets carried at amortised cost the association first assesses individually whether objective evidence of impairment exists individually for financial assets that are individually significant, or collectively for financial assets that are not individually significant. If the association determines that no objective evidence of impairment exists for an individually assessed financial asset, whether significant or not, it includes the asset in a group of financial assets with similar credit risk characteristics and collectively assesses them for impairment. Assets that are individually assessed for impairment and for which an impairment loss is, or continues to be, recognised are not included in a collective assessment of impairment.</t>
  </si>
  <si>
    <t>Offsetting of financial assets and financial liabilities</t>
  </si>
  <si>
    <t>All other expenditure not separately disclosed and that cannot be directly attributed to the advancement of the sport of cycling is recognised as general and administrative expenses.</t>
  </si>
  <si>
    <t>Travel and accommodation</t>
  </si>
  <si>
    <t>At the date of this report the association has no capital committed to future projects. The association also has no potential claims against it contingent on future events.</t>
  </si>
  <si>
    <t>ISSUED ON</t>
  </si>
  <si>
    <t>Statement of Surplus or Deficit</t>
  </si>
  <si>
    <t xml:space="preserve">The external auditors are responsible for independently auditing and reporting on the association's annual financial statements. </t>
  </si>
  <si>
    <t>The operating results and state of affairs of the association are fully set out in the attached financial statements, but the Treasurer would like to highlight the following:</t>
  </si>
  <si>
    <t xml:space="preserve">As is evident from the slow growth in member clubs year on year the communication and understanding difficulties are still persisting to some extent. The association is however attempting to rectify the situation by requesting member clubs to communicate the changing structures to their fellow riders and clubs that they come into contact with. The association is also slowly building a current and reliable database with contact details for both clubs and individual riders that can be included on news and event mailing lists. 
</t>
  </si>
  <si>
    <t>At the date of issue of this report the association has not yet appointed an independent external auditor. Proposals for an auditor appointment will be considered and voted upon at the first AGM.</t>
  </si>
  <si>
    <t>The accounting policies have been consistently applied.</t>
  </si>
  <si>
    <t>Revenue is recognised to the extent that it is probable that the economic benefits will flow to the association and the revenue can be reliably measured, regardless of when the payment is being made. Revenue is measured at the fair value of the consideration received or receivable and represents the amounts receivable for services provided in the normal course of business, net of discounts and value added tax (where applicable).</t>
  </si>
  <si>
    <t>Jaco Olivier</t>
  </si>
  <si>
    <t>Discipline heads (Provincial Commissioners)</t>
  </si>
  <si>
    <r>
      <t xml:space="preserve">Central Gauteng Cycling </t>
    </r>
    <r>
      <rPr>
        <b/>
        <sz val="9"/>
        <color theme="1"/>
        <rFont val="Calibri"/>
        <family val="2"/>
        <scheme val="minor"/>
      </rPr>
      <t>("CGC")</t>
    </r>
  </si>
  <si>
    <r>
      <t xml:space="preserve">Gauteng North Cycling </t>
    </r>
    <r>
      <rPr>
        <b/>
        <sz val="9"/>
        <color theme="1"/>
        <rFont val="Calibri"/>
        <family val="2"/>
        <scheme val="minor"/>
      </rPr>
      <t>("GNC")</t>
    </r>
  </si>
  <si>
    <r>
      <t xml:space="preserve">Gauteng East Cycling </t>
    </r>
    <r>
      <rPr>
        <b/>
        <sz val="9"/>
        <color theme="1"/>
        <rFont val="Calibri"/>
        <family val="2"/>
        <scheme val="minor"/>
      </rPr>
      <t>("GEC")</t>
    </r>
  </si>
  <si>
    <r>
      <t xml:space="preserve">South Gauteng Cycling </t>
    </r>
    <r>
      <rPr>
        <b/>
        <sz val="9"/>
        <color theme="1"/>
        <rFont val="Calibri"/>
        <family val="2"/>
        <scheme val="minor"/>
      </rPr>
      <t>("Sedibeng")</t>
    </r>
  </si>
  <si>
    <r>
      <t xml:space="preserve">Gauteng West Cycling </t>
    </r>
    <r>
      <rPr>
        <b/>
        <sz val="9"/>
        <color theme="1"/>
        <rFont val="Calibri"/>
        <family val="2"/>
        <scheme val="minor"/>
      </rPr>
      <t>("West")</t>
    </r>
  </si>
  <si>
    <t>Standard Bank of South Africa Ltd</t>
  </si>
  <si>
    <t>GAUTENG CYCLING, A UNIFIED VOLUNTARY ASSOCIATION</t>
  </si>
  <si>
    <t>COVER PAGE</t>
  </si>
  <si>
    <t>GENERAL INFO</t>
  </si>
  <si>
    <t>Prepared by:  Jaco Olivier</t>
  </si>
  <si>
    <t>Account details</t>
  </si>
  <si>
    <t>Bank</t>
  </si>
  <si>
    <t>Standard Bank</t>
  </si>
  <si>
    <t>Account number</t>
  </si>
  <si>
    <t>30 055 999 2</t>
  </si>
  <si>
    <t>Account opening date</t>
  </si>
  <si>
    <t>The Association shall be an association not for gain.</t>
  </si>
  <si>
    <t>The income and property of the Association shall be applied solely towards the promotion of the Association as set out in the Constitution.</t>
  </si>
  <si>
    <t>Regional members, being groups of cycling clubs who have formed a duly constituted and seperately recognisable legal entity representing each of the 5 regions into which the province of Gauteng has been demarkated as required by the South African Sports Confederation and Olympic Committee (SASCOC) and who have agreed to be bound by the Constitution and all rules and regulations of Gauteng Cycling, a unified provincial cycling Association ("GC"). Members comprise of the following regions:</t>
  </si>
  <si>
    <t>General objectives of GC</t>
  </si>
  <si>
    <t>These annual financial statements have not yet been audited in compliance with the applicable requirements of the constitution of GC.</t>
  </si>
  <si>
    <t>Jaco Olivier Chartered Accountant (SA) in his capacity as Treasurer of GC</t>
  </si>
  <si>
    <t>Statement number</t>
  </si>
  <si>
    <t>Debits</t>
  </si>
  <si>
    <t>Credits</t>
  </si>
  <si>
    <t>Details</t>
  </si>
  <si>
    <t>Service fee</t>
  </si>
  <si>
    <t>Overdraft rate</t>
  </si>
  <si>
    <t>Debit interest rate</t>
  </si>
  <si>
    <t>Opening balance</t>
  </si>
  <si>
    <t>CREDIT TRANSFER 9378 INVESTECPBActivation PMT - JO</t>
  </si>
  <si>
    <t>CREDIT TRANSFER 9463 INVESTECPBActivation PMT - JO</t>
  </si>
  <si>
    <t>CREDIT TRANSFER 9465 INVESTECPBActivation PMT - JO</t>
  </si>
  <si>
    <t>IB PAYMENT FROM J.OLIVIER</t>
  </si>
  <si>
    <t>Month end balance</t>
  </si>
  <si>
    <t>BALANCE BROUGHT FORWARD</t>
  </si>
  <si>
    <t>MONTHLY MANAGEMENT FEE ACC 300559992</t>
  </si>
  <si>
    <t>SERVICE FEE MIN SF 300559992</t>
  </si>
  <si>
    <t>CREDIT TRANSFER 9183 GAUTENG EAST CYCLING</t>
  </si>
  <si>
    <t>IB PAYMENT FROM SEDIBENGCYCLINGINV 0003</t>
  </si>
  <si>
    <t>Test</t>
  </si>
  <si>
    <t>IB PAYMENT TO CGC REGION 263344013</t>
  </si>
  <si>
    <t>FEE: PAYMENT CONFIRM - EMAIL SHAHAD KHAN</t>
  </si>
  <si>
    <t>MAGTAPE CREDIT 90 INA10001 (Gauteng North)</t>
  </si>
  <si>
    <t>2016 financial year end</t>
  </si>
  <si>
    <t>CREDIT TRANSFER 9641 ABSA BANK INA 10007</t>
  </si>
  <si>
    <t>IB PAYMENT FROM SEDIBENG C SA'SINA10008</t>
  </si>
  <si>
    <t>MAGTAPE CREDIT 9581 INA10006</t>
  </si>
  <si>
    <t>GL Detailed Ledger 01/05/2016 to 31/12/2016</t>
  </si>
  <si>
    <t>CPJ - Standardbank</t>
  </si>
  <si>
    <t>Closing Balance as at 31/12/2016</t>
  </si>
  <si>
    <t>Supplier control account</t>
  </si>
  <si>
    <t>Current acc - 30 055 999 2</t>
  </si>
  <si>
    <t>CRJ - Standardbank</t>
  </si>
  <si>
    <t>Trial Balance : 01/05/2016 to 31/12/2016</t>
  </si>
  <si>
    <t>Category</t>
  </si>
  <si>
    <t>Rounding - taken to sundry assets/liabilities</t>
  </si>
  <si>
    <t>SOFP - Equity Reserves</t>
  </si>
  <si>
    <t>SOFP - Current assets - Cash</t>
  </si>
  <si>
    <t>SOFP - Current assets - Trade receivables</t>
  </si>
  <si>
    <t>SOFP - Current liabilities - Trade payables</t>
  </si>
  <si>
    <t>SOCI - Operating expense</t>
  </si>
  <si>
    <t>Information obtained from regions need to be at a more granular leve. Cannot just present consolidated total income. At a bare minimum need to disclose the income generated from the various income streams at the regions' disposal. If required treasurer might want to interogate further level of detail for reasonability</t>
  </si>
  <si>
    <t>CGC</t>
  </si>
  <si>
    <t>Salaries - Registered employees? Compliance with payroll taxes?</t>
  </si>
  <si>
    <t>Management consulting fees - What is this made up of? Related party? What was the need for consulting on if there are salaried employees? Single largest expense line item, if questioned can this be explained?</t>
  </si>
  <si>
    <t>Honarariums? What are these expenses made up of? What is the purpose? Clarification required.</t>
  </si>
  <si>
    <t>CGC, GN</t>
  </si>
  <si>
    <t>All</t>
  </si>
  <si>
    <t>Should we consider classifying expenses by nature - ie expenses incurred in running administrative functions and expenses incurred in executing on the objectives per the constitutions of the regions and the province? Would give public at large a more transparent view of what value is being added to the sport</t>
  </si>
  <si>
    <t>If more detail requested around certain expence categories, are there original source documents available to support these expenses that adds up to the total (are there expenses that cannot be substantiated?) If so these should be Categorised in the correct category, but clearly differentiated as expenses for which no supporting documents are available in the income statement notes.</t>
  </si>
  <si>
    <t>The Association shall be a distinct and separate legal entity
and association with perpetual succession.</t>
  </si>
  <si>
    <t>GC is a unified voluntary association representing all cycling disciplines within the Gauteng Province as defined by Cycling South Africa ("CSA") which will be:
Road cycling
Track cycling
Para cycling
Mountain Biking
Bicycle Motocross</t>
  </si>
  <si>
    <t>It is the objective of Gauteng Cycling to promote, control and administer the sport of cycling (including all disciplines referred to above) within the area of jurisdiction of Gauteng Cycling in accordance with sound business principles, and without derogating from the generality of the aforesaid, shall also include the objective, through the application of sound principles, to promote:
Administration of the sport;
Financial management of the sport;
Promotion of the sport;
Development of the sport;
Enforcing the rules of the sport;
Transformation objectives in the sport;
The prevention of discrimination in the sport;
The upholding and enforcing of any code of conduct pertaining to the sport of cycling as approved by CSA and/or UCI;
The recognition and acceptance of the jurisdiction, Rules, and Regulations of the South African Institute for Drug Free Sports as well as the code of the World Anti Doping Agency.</t>
  </si>
  <si>
    <t>the executive committee and members of Gauteng Cycling, a unified voluntary association:</t>
  </si>
  <si>
    <t>J Olivier (Treasurer)</t>
  </si>
  <si>
    <t>Entity and Summary results</t>
  </si>
  <si>
    <t>The association is engaged in cycling and operates principally in Gauteng Province, South Africa.</t>
  </si>
  <si>
    <t xml:space="preserve">The association was recognised on 31 May 2016 as a duly recognised province by the national cycling governing body, Cycling South Africa. </t>
  </si>
  <si>
    <t>It should be noted that all of the regions' financial year ends do not coincide with the 31 December year end of the association and as a result the summary results include a full financial year for each region, but does not cover the same calendar period. The executive committee will endeavour to align the year-ends of all regions within the province going forward.</t>
  </si>
  <si>
    <t>President</t>
  </si>
  <si>
    <t>Vice President</t>
  </si>
  <si>
    <t>INTEREST ON OVERDRAFT UP TO 07 31 300559992 @20,750%</t>
  </si>
  <si>
    <t>INTEREST ON OVERDRAFT UP TO 08 24 300559992 @20,750%</t>
  </si>
  <si>
    <t>SERVICE FEE 10.28.35 CLEARWATER 172</t>
  </si>
  <si>
    <t>SERVICE FEE 10.17.12 CLEARWATER 152</t>
  </si>
  <si>
    <t>2017 Financial year end</t>
  </si>
  <si>
    <t>1000/001</t>
  </si>
  <si>
    <t>Fee income-recoveries charged to regions</t>
  </si>
  <si>
    <t>DJ - Regions</t>
  </si>
  <si>
    <t>INA10001</t>
  </si>
  <si>
    <t>Recovery due to CGC for hosting provincial road champs</t>
  </si>
  <si>
    <t>INA10002</t>
  </si>
  <si>
    <t>INA10003</t>
  </si>
  <si>
    <t>2000/001</t>
  </si>
  <si>
    <t>Fee disbursement-regional expenses</t>
  </si>
  <si>
    <t>CJ - Regions</t>
  </si>
  <si>
    <t>INC10001</t>
  </si>
  <si>
    <t>CGC reimbursed for expenses incurred in hosting provincial road champs</t>
  </si>
  <si>
    <t>GC - Provincial body</t>
  </si>
  <si>
    <t>SOCI - income</t>
  </si>
  <si>
    <t>SOCI - expenses - incurred in realising objectives of constitution</t>
  </si>
  <si>
    <t>Income</t>
  </si>
  <si>
    <t>Expenses incurred in realising objectives of the association</t>
  </si>
  <si>
    <t>Opening balance as at 01/01/2017</t>
  </si>
  <si>
    <t>3300/000</t>
  </si>
  <si>
    <t>Finance charges</t>
  </si>
  <si>
    <t>INA10004</t>
  </si>
  <si>
    <t>INA10005</t>
  </si>
  <si>
    <t>INA10006</t>
  </si>
  <si>
    <t>Recovery due to CGC for hosting provincial track champs</t>
  </si>
  <si>
    <t>INC10002</t>
  </si>
  <si>
    <t>CGC reimbursed for expenses incurred in hosting provincial track champs</t>
  </si>
  <si>
    <t>Rounding - taken to sundry payables or receivables</t>
  </si>
  <si>
    <t>FOR THE YEAR ENDED 31 DECEMBER 2017</t>
  </si>
  <si>
    <t>25 April 2018</t>
  </si>
  <si>
    <t>Balance as at 31 May 2016 (date of formation)</t>
  </si>
  <si>
    <t>Balance as at 31 December 2016</t>
  </si>
  <si>
    <t>Opening balance as at 1 January 2017</t>
  </si>
  <si>
    <t>Balance as at 31 December 2017</t>
  </si>
  <si>
    <t>Surplus / (Deficit) realised for the year</t>
  </si>
  <si>
    <t>Accumulated surplus / (Deficit)</t>
  </si>
  <si>
    <t>Expenditure incurred in realising the objectives of GC</t>
  </si>
  <si>
    <t>rounding</t>
  </si>
  <si>
    <t>Bank balances are held in a current account which does not earn interest.</t>
  </si>
  <si>
    <t>Other receivables</t>
  </si>
  <si>
    <t>Provision for bad debts *</t>
  </si>
  <si>
    <t>If receivables exceed 120 days ageing and as a result it is deemed that there are sufficient indicators of impairment and that these amounts may not be recoverable. The executive committee will make a concerted effort to follow up on the recovery of any amounts. Where this relates to member affiliation fees for members who no longer wish to be affiliated, or no longer exist, the receivable will be written off in the following financial year and disclosed in that year's financial statements.</t>
  </si>
  <si>
    <t>Cycling south Africa</t>
  </si>
  <si>
    <t>Central Gauteng Cycling region</t>
  </si>
  <si>
    <t>Gauteng East Cycling region</t>
  </si>
  <si>
    <t>Gauteng North Cycling region</t>
  </si>
  <si>
    <t>Sedibeng Cycling region (Gauteng South)</t>
  </si>
  <si>
    <t>Sundry payable *</t>
  </si>
  <si>
    <t>Members fees *</t>
  </si>
  <si>
    <t>Recovery to reimburse Central Gauteng Cycling for net expenses incurred in hosting provincial road championships</t>
  </si>
  <si>
    <t>Recovery to reimburse Central Gauteng Cycling for net expenses incurred in hosting provincial track championships</t>
  </si>
  <si>
    <t xml:space="preserve">Donations received </t>
  </si>
  <si>
    <t>The constitution of GC enables it to recover from its members whatsoever fees the EXCO deems necessary and approves in order for the province to administer its affairs. No fixed member affiliation fees are charged at present.</t>
  </si>
  <si>
    <t>GC Meetings</t>
  </si>
  <si>
    <t>CSA - Amounts levied against the province</t>
  </si>
  <si>
    <t>CSA - portion of any calendar fees due to CSA</t>
  </si>
  <si>
    <t>CSA - portion of any day licence fees due to CSA</t>
  </si>
  <si>
    <t>CSA - portion of any event participation affiliation fees due to CSA</t>
  </si>
  <si>
    <t>Reimburse regions for expenses incurred in hosting provincial championships</t>
  </si>
  <si>
    <t>Funds applied to hosting events</t>
  </si>
  <si>
    <t>Interest received consists of interest received on the banking account held with The Standard Bank of South Africa Limited. The average rate of interest for the period under review amounted to 0% (2015: 0%)</t>
  </si>
  <si>
    <t>Interest expense</t>
  </si>
  <si>
    <t>Salaries and wages</t>
  </si>
  <si>
    <t>Please refer to note 1.11 in the accounting policies for details of transactions and balances that may be disclosed in this section. GC can report that no transactions or balances needed to be classified in this category.</t>
  </si>
  <si>
    <t>Fees charged to members</t>
  </si>
  <si>
    <t>Sedibeng Cycling region</t>
  </si>
  <si>
    <t>Reimbursements to regions</t>
  </si>
  <si>
    <t>Balances with related parties</t>
  </si>
  <si>
    <t>Sundry payable : Treasurer - Jaco Olivier</t>
  </si>
  <si>
    <t>The GC EXCO has not yet resolved to approve any recovery of expenses from its regions except for the the recovery of expenses incurred by a region while hosting a provincial championship for any of the disciplines that the province oversees. The general expenses incurred in administrating the region have been funded by its Treasurer and will be repaid at such time when the EXCO resolves to approve the recovery of general expenses from its regions. No interest is applicable to this advance.</t>
  </si>
  <si>
    <t>Date of incorporation - no signed copy of constitution available to confirm date, date taken as the date upon which the bank account was opened. (Constitution will be amended to align with new CSA constitution adopted in February 2018</t>
  </si>
  <si>
    <t>CONSOLIDATED INCOME STATEMENT (included in treasurer report) or seperately disclosed if it should not be included in the scope of the audit</t>
  </si>
  <si>
    <t>Check:</t>
  </si>
  <si>
    <t>Registered address? As Shahad resigned and 30A Dias crescent no longer the office</t>
  </si>
  <si>
    <t>Statement of cash flows note wording …</t>
  </si>
  <si>
    <t>Summary of major resolutions passed at meetings if any</t>
  </si>
  <si>
    <t>Logo for GC for cover page of financials</t>
  </si>
  <si>
    <t>Constitutional alignment to new constitution of CSA</t>
  </si>
  <si>
    <t>Amend constitution to clarify what audit entails. (Although CSA has similar vague wording, assumed to be an audit performed by a registered auditor under the ISA's</t>
  </si>
  <si>
    <t>Ordinary resolution to apporove discretionary spend level per transaction for which approval by ordinary resolution is required. (CSA constitution requires approval for any transaction by 2 employees, one being a member of EXCO before any expense is incurred.)</t>
  </si>
  <si>
    <t>Bank statement export</t>
  </si>
  <si>
    <t>GC_Bank_Statements</t>
  </si>
  <si>
    <t>Trial balance - 2017</t>
  </si>
  <si>
    <t>TB 2017</t>
  </si>
  <si>
    <t>General ledger - 2017</t>
  </si>
  <si>
    <t>GL 2017</t>
  </si>
  <si>
    <t>Trial balance - 2016</t>
  </si>
  <si>
    <t>General ledger - 2016</t>
  </si>
  <si>
    <t>AFS - Statement of financial position as at 31/12/2017</t>
  </si>
  <si>
    <t>AFS - Statement of comprehensive income for the period ended 31/12/2017</t>
  </si>
  <si>
    <t>AFS - Statement of financial changes in equite as at 31/12/2017</t>
  </si>
  <si>
    <t>AFS - Statement of cash flows for the period ended 31/12/2017</t>
  </si>
  <si>
    <t>Follow up</t>
  </si>
  <si>
    <t>Clarification required on remaining items</t>
  </si>
  <si>
    <t>confirm date of issue, comfortable to show that it was issued on 25 April 2018, Eventually would like to bring that down to within 3 months after YE. Take into account that the composition of the committee should reflect as it currently stands (include resignation of S Khan and appointment of Chris Prinsloo as the interim chair and Alida Naude as interim secretary)</t>
  </si>
  <si>
    <t>Chris Prinsloo (Interim)</t>
  </si>
  <si>
    <t>Alida Naude (Interim)</t>
  </si>
  <si>
    <t>As at the 2017 financial year end all regions are fully formed, operating autonomously and recognised by the province with the exception of West where the region has not been able to find any volunteers to fulfill the roles of committee members. The region's affairs and responsibilities are currently being managed by CGC.</t>
  </si>
  <si>
    <t>The auditor shall be appointed at the first annual general meeting of the Association in the manner prescribed by the constitution of GC. At date of issue of these annual financial statements the first annual general meeting is scheduled for 26 May 2018.</t>
  </si>
  <si>
    <t>The executive committee is required in terms of the association's constitution to maintain adequate accounting records and are responsible for the content and integrity of the annual financial statements and related financial information included in this report. It is their responsibility to ensure that the annual financial statements fairly present the state of affairs of the association as at the end of 31 December 2017 and the results of its operations and cash flows for the period then ended, in conformity with the association's accounting policies. The independent auditor is engaged to express an opinion on the annual financial statements.</t>
  </si>
  <si>
    <t>C Prinsloo (Interim President)</t>
  </si>
  <si>
    <t>The treasurer has pleasure in submitting his report on the financial affairs of Gauteng Cycling, a unified voluntary association for the financial year ended 31 December 2017.</t>
  </si>
  <si>
    <t>As the association has only formally operated for 19 months leading up to the financial year ending 31 December 2017, the results presented only cover this period. As each of the constituent members have been operating autonomously for longer than 24 months leading up to 31 December 2017, the summary results presented in section 9 below are based on the operating results of a full financial year in both the representative as well as comparative period.</t>
  </si>
  <si>
    <t>Chris Prinsloo (interim President)</t>
  </si>
  <si>
    <t>Alida Naude (Interim Secretary)</t>
  </si>
  <si>
    <t>The association anticipates that it will be able to raise the required amount of funds from its member regions in order to fund its operational requirements. Expenditure is expected to be lower than fees generated thereby allowing the association to also focus on its core responsibilities of advancing the sport of cycling through the funding of projects and events.</t>
  </si>
  <si>
    <t>The association is proud to announce that its member regions have ensured that the organization and hosting of the 2017 provincial road and time trial championships took place. This is testament to the commitment to achieving the goals set out in our constitution by being a representative for the sport, amicably communicating and collaborating with fellow regions in Gauteng province as well as contributing towards the organization of a provincial championship to recognise the best cyclists in the province.</t>
  </si>
  <si>
    <t>The appointment of Chris Prinsloo as Interim President after the resignation of Shahad Khan.</t>
  </si>
  <si>
    <t>Further to the above, the difficulty in reaching agreement between both the regions and CSA on the amounts owing between one another and as a result refusing to be the first to pay has placed some of the regions in a position where they struggle to raise the cash flow required to optimally execute on their constitutional mandates. All accounts between regions and CSA needs to be agreed and settled as a matter of urgency.</t>
  </si>
  <si>
    <t>i.iii</t>
  </si>
  <si>
    <t>Regional summary of results</t>
  </si>
  <si>
    <t>The information presented below are extracts from the annual financial statements of the regions constituting the members of Gauteng Cycling and represent a summary of the total cycling activities within the province.</t>
  </si>
  <si>
    <t>Statement of surplus or deficit:</t>
  </si>
  <si>
    <t>South (Sedibeng)</t>
  </si>
  <si>
    <t>Total liabilities</t>
  </si>
  <si>
    <t>Total accumulated surpluss</t>
  </si>
  <si>
    <t>Fees received from members on an annual or ad-hoc basis in order for them to be affiliated and recognised within the province and to enable the province to fund its operational requirements. These fees are paid in order for the regions and their clubs and riders to enjoy the support and benefits of belonging to the province as outlined in the constitution of the association.</t>
  </si>
  <si>
    <t>For all sanctioned events hosted by the province it earns a rider levy of R6 per rider of which R2,50 is then payable to Cycling South Africa. This levy is collected from the event organiser. Although every effort is made to establish the reasonability of the number of participants, the region is ultimately reliant upon the honesty and integrity of event organisers to completely declare the number of riders that take part in an event.</t>
  </si>
  <si>
    <t>Each licensed rider has to renew their licence with Cycling South Africa on an annual basis. Cycling South Africa may at their discretion decide to distribute a portion of license fees to the region in which the cyclist is domiciled. These distributions are not calculated on a monthly basis and normally paid out for periods of 4 months, 2 months in arrears. GC has no viable way of establishing the reasonability of affiliation fees declared by Cycling South Africa as they do not have access to the database of licenced riders and licencing is done directly through Cycling South Africa. GC is therefore ultimately reliant on the honesty and integrity of Cycling South Africa for the recognition of these affiliation fees.</t>
  </si>
  <si>
    <t xml:space="preserve">All expenditure that can be directly attributed to fulfilling the objectives of GC as stipulated in its constitution are recognised as such. These expenses are accounted for in this manner so that there is a clear distinction between expenditure incurred that advances the sport of cycling and expenditure incurred related to the day to day running of the association. </t>
  </si>
  <si>
    <t>2018/2019 year</t>
  </si>
  <si>
    <t>Road champs</t>
  </si>
  <si>
    <t>Track champs</t>
  </si>
  <si>
    <t>MTB champs</t>
  </si>
  <si>
    <t>BMX champs</t>
  </si>
  <si>
    <t xml:space="preserve">Rider entry fees </t>
  </si>
  <si>
    <t>Expenses</t>
  </si>
  <si>
    <t>Insurance covered by CSA</t>
  </si>
  <si>
    <t>Medals</t>
  </si>
  <si>
    <t>Medics ER24</t>
  </si>
  <si>
    <t>Mardo Foto's</t>
  </si>
  <si>
    <t>Refunds</t>
  </si>
  <si>
    <t>Cycle Events 10% fee of total entries line entries</t>
  </si>
  <si>
    <t xml:space="preserve">    10% on entries + Vat at 14%</t>
  </si>
  <si>
    <t xml:space="preserve">    Bank charges = Vat</t>
  </si>
  <si>
    <t>Barriers</t>
  </si>
  <si>
    <t>Officials</t>
  </si>
  <si>
    <t>Sound</t>
  </si>
  <si>
    <t>Safety officer</t>
  </si>
  <si>
    <t xml:space="preserve">Marshalls </t>
  </si>
  <si>
    <t>Motor Cycles (Think Bike)</t>
  </si>
  <si>
    <t>Food and Drinks (Medics, Traffic, Officials, Think Bike)</t>
  </si>
  <si>
    <t>Pins, Envelopes, Race numbers, Tel calls</t>
  </si>
  <si>
    <t>Petrol - Route finding, marking, meetings, casuals</t>
  </si>
  <si>
    <t>Venue Hire Boswell wilkie Circus</t>
  </si>
  <si>
    <t>Midvaal Traffic - Saturday and Sunday</t>
  </si>
  <si>
    <t>Dept of Road and Transport</t>
  </si>
  <si>
    <t>Signage</t>
  </si>
  <si>
    <t>Organizers fee</t>
  </si>
  <si>
    <t>Net shortfall</t>
  </si>
  <si>
    <t>Assumed worst case</t>
  </si>
  <si>
    <t>equally amongst 4 regions</t>
  </si>
  <si>
    <t>GAUTENG PROVINCIAL TRACK CHAMPS 2017 RECON</t>
  </si>
  <si>
    <t>INCOME</t>
  </si>
  <si>
    <t>Consumables</t>
  </si>
  <si>
    <t xml:space="preserve">Entries - Pre-Entries paid cash  </t>
  </si>
  <si>
    <t>Game-Printing Materials</t>
  </si>
  <si>
    <t>Entries - bank deposits</t>
  </si>
  <si>
    <t>82 Entries</t>
  </si>
  <si>
    <t>SuperSpar-Batteries</t>
  </si>
  <si>
    <t>Entries - Cash late entries</t>
  </si>
  <si>
    <t>Pnp-Toliet Paper,Refuse Bags</t>
  </si>
  <si>
    <t>Entries - Cash Refunds</t>
  </si>
  <si>
    <t>Wors Rolls Sold</t>
  </si>
  <si>
    <t>Tvw-Toliet Paper</t>
  </si>
  <si>
    <t>Gate Fee (80 Cars)</t>
  </si>
  <si>
    <t>Pnp-Rubber Bands,Staples etc</t>
  </si>
  <si>
    <t>10% Back from Coffee Stand</t>
  </si>
  <si>
    <t>Wors Rolls</t>
  </si>
  <si>
    <t>Rolls</t>
  </si>
  <si>
    <t>EXPENSES</t>
  </si>
  <si>
    <t>Tomotoe sauce &amp; Mustard/Sev</t>
  </si>
  <si>
    <t>Pd CGC</t>
  </si>
  <si>
    <t>Wors</t>
  </si>
  <si>
    <t>Medics</t>
  </si>
  <si>
    <t xml:space="preserve">Officals 8 </t>
  </si>
  <si>
    <t>Food, drinks</t>
  </si>
  <si>
    <t>Food, drinks for Officials &amp; workers</t>
  </si>
  <si>
    <t>Coffee Day 1</t>
  </si>
  <si>
    <t>Consumables for registeration &amp; Grounds</t>
  </si>
  <si>
    <t>Coffee Day 2</t>
  </si>
  <si>
    <t>Car guards 7 R345. each</t>
  </si>
  <si>
    <t>Announcer</t>
  </si>
  <si>
    <t>Thank you Gifts</t>
  </si>
  <si>
    <t>Robbie Maartens Over paid</t>
  </si>
  <si>
    <t>NET LOSS</t>
  </si>
  <si>
    <t>Cash Refunds</t>
  </si>
  <si>
    <t>Car guards</t>
  </si>
  <si>
    <t>Ancillary - food and ddrink sales</t>
  </si>
  <si>
    <t>?</t>
  </si>
  <si>
    <t>Gauteng Cycle Association</t>
  </si>
  <si>
    <t>Internal Memo : Approval of financial results of Gauteng provincial champs 2016</t>
  </si>
  <si>
    <t>Objective:</t>
  </si>
  <si>
    <t>Present results to regions contained in Gauteng province for comment and approval</t>
  </si>
  <si>
    <t>Resolve on agreement by all regions to refund Central Gauteng cycling for the shortfall incurred in hosting the event</t>
  </si>
  <si>
    <t>Date:</t>
  </si>
  <si>
    <t>Preliminary observations to provide context</t>
  </si>
  <si>
    <t>The event was initially planned to be hosted by the Sedibeng (Gauteng South) region early in January. Through Poor planning and execution the event had to be postponed twice. After the organisation again fell flat it was resolved that Central gauteng would host the event with the approval of the already established regions as it was the only region with previous experience in hosting the provincial champs and also had the spare capacity to make the necessary arrangements.</t>
  </si>
  <si>
    <t>Evaluation of results vs budget</t>
  </si>
  <si>
    <t>Actual 2016</t>
  </si>
  <si>
    <t>Budget 2016</t>
  </si>
  <si>
    <t>variance Favourable / (Unfavourable)</t>
  </si>
  <si>
    <t>Online entries</t>
  </si>
  <si>
    <t>Office entries (R10450.00) as per cycle events. R6800.00 as per CGC acc.</t>
  </si>
  <si>
    <t>1, 2</t>
  </si>
  <si>
    <t>Late entries - Cash</t>
  </si>
  <si>
    <t>Timing</t>
  </si>
  <si>
    <t>8, 9</t>
  </si>
  <si>
    <t>Jerseys</t>
  </si>
  <si>
    <t>NET INCOME</t>
  </si>
  <si>
    <t>Payable between 5 regions</t>
  </si>
  <si>
    <t>Per Region</t>
  </si>
  <si>
    <t>As there was no specific historic data available to evaluate the reasonability for the amounts and number of entries it is assumed that entries are completely recorded based on the information received by the online entry administrator as well as the info provided by CGC offices. Using an entry fee of R250 it equates to roughly 343 entries which seems reasonable given the relatively low historic turnout. On the day entries seem low given that it would equate to only 6 riders entering on the day. If this amount is questioned by any of the regions the matter would need to be looked into further.</t>
  </si>
  <si>
    <t>A difference identified of R3 650 was identified between the office entries accounted for by the online entry system and the figures reported by the office. To my knowledge this variance has not yet been resolved?</t>
  </si>
  <si>
    <t>As the organiser was unable to contract with a timing company in such a short period of time, the officials requested a high speed camera on the line for capturing of results. The fee seems reasonable</t>
  </si>
  <si>
    <t>Due to the event being postponed twice through the fault of the organisers the riders were given the option to request a refund if they were unable or unwilling to attend the event at the new proposed time. It appears as though the entry company still charged their fee on these entries and the province is out of pocket for the difference</t>
  </si>
  <si>
    <t>Originally CSA's online entry option was planned but due to unavailability a different provider was used. The provider charges a rate of 10% per entry as opposed to the 5% that would've been charged by CSA which accounted for a large portion of the cost. This was unavoidable at the time.</t>
  </si>
  <si>
    <t>The entry admin fee was calculated based on entries amounting to R111 740, but only R94 080 is reflecting as revenue. Either the provider overcharged, or not all revenue has been accounted for. This matter needs to be reported on by Central Gauteng. Unaccounted funds totalling R17 660.</t>
  </si>
  <si>
    <t>It is assumed that the region is not a registered VAT vendor and that this expense line item reflects the VAT charged by vendors on all expenses that have been reported exclusive of VAT.</t>
  </si>
  <si>
    <t>Worth of expenditure charged by vendors are assumed under this figure</t>
  </si>
  <si>
    <t>Known expenditure likely from a vendor:</t>
  </si>
  <si>
    <t>Organiser fee</t>
  </si>
  <si>
    <t>Venue hire</t>
  </si>
  <si>
    <t>Petrol</t>
  </si>
  <si>
    <t>Pins and envelopes</t>
  </si>
  <si>
    <t>Food and drinks</t>
  </si>
  <si>
    <t>Officials * Not sure if the officials body is a registered vendor?</t>
  </si>
  <si>
    <t>If the organiser is a registered vendor the VAT expense is likely understated which leads one to believe that he is not, in which case the officials would need to be a vendor for the maths to add up? To discuss.</t>
  </si>
  <si>
    <t>Officials charges far exceeded the budget with no explanation or motivation. This was the 2nd largest expense item as well as the single expense with the largest over run. For the region to host a viable event a serious rethink of these costs is needed and the budget needs to be adhered to. Any possible fruitless or wasteful expenditure on this item needs to be monitored as there is no segregation of duties in that the officials representative can write whatever fee they deem appropriate. It is also noted that the fee for this local event approximates or exceeds the fees for some national classic events and this needs to be discussed by the province</t>
  </si>
  <si>
    <t>Should these general expenses not be covered by the event organiser fee to some extent? The event organiser fee is the single largest expense item, was not budgeted for or approved by the regions, and from the general comments observed very little value was perceived to have been derived from the services provided by the organiser. There were comments to the effect that there was inadequate barriers and other required road furniture, inadequate toilet facilities etc. Serious thought should be given to whether the services of an event organiser should be used again for an event of this nature unless the fee can be justified at the planning stage through motivation of the value added that would not be possible had the event been organised internally.</t>
  </si>
  <si>
    <t>Amounts included under expenses for fuel and pins and envelopes are round amounts which indicates that these might not reflect the actual costs incurred. There is a risk that funds may be advanced from petty cash to purchase these items, but that any excess funds are not returned and that the accounting for the expenses are not accurate. If the regions are in agreement that these amounts are trivial we may accept them as is and resolve to have more accurate accounting for ancillary expenses in the future.</t>
  </si>
  <si>
    <t>Winners jerseys accounted for a large expense that was budgeted for but not incurred. This could possibly be the only tangible reward that the riders receive except for medals and care should be taken that the event is not perceived to be an opportunity to fleece riders with them perceiving there to be no value in the event which would inherently cause numbers to dwindle and the attitude of riders towards the governance structures to sour as has already been observed to some extent.</t>
  </si>
  <si>
    <t>Proposals for improvement</t>
  </si>
  <si>
    <t>The floor is open to the regions to comment on, and propose changes to the way the event is administered in future so as to ensure a successful event and a continuous improvement on past events</t>
  </si>
  <si>
    <t>Comments and suggestions</t>
  </si>
  <si>
    <t>Approval of report and payment of shortfall</t>
  </si>
  <si>
    <t>Central Gauteng</t>
  </si>
  <si>
    <t>Name</t>
  </si>
  <si>
    <t>Signature</t>
  </si>
  <si>
    <t>Gauteng North</t>
  </si>
  <si>
    <t>Gauteng East</t>
  </si>
  <si>
    <t>Gauteng South (Sedibeng)</t>
  </si>
  <si>
    <t>West Rand</t>
  </si>
  <si>
    <t>Treasurer - Gauteng province</t>
  </si>
  <si>
    <t>Club affiliation fees</t>
  </si>
  <si>
    <t>Insurance payout</t>
  </si>
  <si>
    <t>Member affiliation fees</t>
  </si>
  <si>
    <t>Race income</t>
  </si>
  <si>
    <t>Auditor remuneration</t>
  </si>
  <si>
    <t>CSA Calendar fees</t>
  </si>
  <si>
    <t>CSA Rider levies</t>
  </si>
  <si>
    <t>CSA Affiliation fees</t>
  </si>
  <si>
    <t>Day Licences</t>
  </si>
  <si>
    <t>Development expenses</t>
  </si>
  <si>
    <t>Mailbox rent</t>
  </si>
  <si>
    <t>NPO registration fee</t>
  </si>
  <si>
    <t>Race officials</t>
  </si>
  <si>
    <t>Refreshments</t>
  </si>
  <si>
    <t>Secretarial services</t>
  </si>
  <si>
    <t xml:space="preserve">Stationary </t>
  </si>
  <si>
    <t>Sponsorships</t>
  </si>
  <si>
    <t>Technical official licences</t>
  </si>
  <si>
    <t>Travel expenses</t>
  </si>
  <si>
    <t>Website and Email support services</t>
  </si>
  <si>
    <t>Income (2017)</t>
  </si>
  <si>
    <t>Income (2016)</t>
  </si>
  <si>
    <t>Total expenditure (2017):</t>
  </si>
  <si>
    <t>Total expenditure (2016):</t>
  </si>
  <si>
    <t>GCA - Road champs</t>
  </si>
  <si>
    <t>IT support services</t>
  </si>
  <si>
    <t>Net surplus/(deficit) - 2016</t>
  </si>
  <si>
    <t>Net surplus/(deficit) - 2017</t>
  </si>
  <si>
    <t>North
(GNC)</t>
  </si>
  <si>
    <t>Provincial champs</t>
  </si>
  <si>
    <t>Insurance</t>
  </si>
  <si>
    <t>Regional champs</t>
  </si>
  <si>
    <t>Honorarium - EXCO</t>
  </si>
  <si>
    <t>AGM expenses</t>
  </si>
  <si>
    <t>Other</t>
  </si>
  <si>
    <t>Central
(CGC)</t>
  </si>
  <si>
    <t>Security</t>
  </si>
  <si>
    <t>Telephone</t>
  </si>
  <si>
    <t>Safety - Helivac</t>
  </si>
  <si>
    <t>Staff salaries</t>
  </si>
  <si>
    <t>Rent</t>
  </si>
  <si>
    <t>East
(GEC)</t>
  </si>
  <si>
    <t>West
(West)</t>
  </si>
  <si>
    <t>Proposed provincial budget - 2018/2019 Financial year</t>
  </si>
  <si>
    <t>As a result of the current simplified operating model where regions operate autonomously, execute on their respective regional projects and deal directly with Cycling South Africa the provincial entity is not presently a large drain on the finances of the regions which supports it.</t>
  </si>
  <si>
    <t>In order to continue operations for the 2018 financial year the province requires at a minimum:</t>
  </si>
  <si>
    <t xml:space="preserve">A recovery of the 2016 and 2017 bank charges incurred so that it may settle its outstanding trade payables </t>
  </si>
  <si>
    <t>ii</t>
  </si>
  <si>
    <t>A recovery of the bank charges that will be incurred up to the Dec 2018 financial year end</t>
  </si>
  <si>
    <t>iii</t>
  </si>
  <si>
    <t>A recovery of the bank charges that will be incurred up to the Dec 2019 financial year end in order to avoid the need to incur borrowings</t>
  </si>
  <si>
    <t>Based on analysis of past provincial championships there is a reasonable expectation that no championship event would result in a net loss of greater than R50 000 with break even to R30 000 loss being a more likely outcome.</t>
  </si>
  <si>
    <t>Should the EXCO decide that provincial championships for all disciplines should be organised and administered through the provincial structure it is likely that the region would require between R40 000 and R100 000 of funds available in order to pay for expenses that arise before all event entries are collected. This will not be factored into the budget at present as these funds would only be required once a decission is taken for the provincial structure to administer the events.</t>
  </si>
  <si>
    <t>The Association's currently does not have registered offices. Based on the appointment of a Secretary at the AGM the registered offices will be assigned.</t>
  </si>
  <si>
    <t>Gauteng Cycling prepares financial statements that report on the financial results of the association. In order to comply with the requirements of Cycling South Africa summary results are also presented in the treasurer's report. These comprise the results of both Gauteng Cycling as well as its constituant members. It should be noted that each of these constituent members operate as autonomous organisations with their own executive committee and treasury function. Gauteng cycling does not exercise direct control over the financial affairs of any of its members and the summary results presented are merely a "sum of the parts" disclosure indicative of the total activities of the province as a whole. These summary results are included in the Treasurer's report.</t>
  </si>
  <si>
    <t>5 - 8</t>
  </si>
  <si>
    <t>12</t>
  </si>
  <si>
    <t>13 - 16</t>
  </si>
  <si>
    <t>17 - 20</t>
  </si>
  <si>
    <t>The annual financial statements set out on pages 9 to 20, which have been prepared on the going concern basis, were approved by the executive committee on 25 April 2018 and were signed on its behalf by:</t>
  </si>
  <si>
    <t>The association has realised a net deficit of funds generated amounting to R1 663 (R841 deficit for the 7 months ending 31 December 2016) and has total assets to the value of R406 (R12 001 : 2016) with liabilities exceeding assets by an amount of R2 504 (R841 : 2016).</t>
  </si>
  <si>
    <t>The President was appointed upon formation of the association in the manner prescribed by the constitution. During 2017 the President tendered his resignation, due to other work commitments placing too high a demand on his time to tend to the office of the president. Subsequently the Vice President was appointed as Interim President and took over the duties of President until his resignation on 25 October 2017 at which point Chris Prinsloo was nominated by the executive to fulfill the duties of Interim President until such time as a new President can be appointed at the first AGM. As per the constitution, all members will hold office for a period of 2 years, or until the second AGM, whichever period is shorter.</t>
  </si>
  <si>
    <t>The association has no means of generating its own funds without relying on funds requested from its regional members as Cycling South Africa has set up fee structures in such a way that all fees accrue directly to the regions where the riders are domiciled and not to the province thereby limiting the operational abilities of the province.</t>
  </si>
  <si>
    <t>Central Gauteng Cycling did not have a properly constituted EXCO after the resignation of Shahad Khan at the region's AGM which was held in January 2018. At the AGM the members replaced all previous members of the executive with new members and agreed in principle to pay Mr. Khan for the remaining managment fees due to him after the efficient transition and hand-over of operations to the new executive.
Unfortunately the relationship between the newly appointed executive and Mr. Khan soured to the point of complete breakdown in communication and all comunication between the parties occuring through their lawyers with the new executive claiming that Mr Khan refuses to extinguish his duties in handing over all accounting records and supporting documents as well as facilitating the change of signatories on all bank accounts and Mr. Khan claiming his only assurance of receiving the remaining fees would be to demand payment before fully extinguishing his duties.
Due to the circumstances above central Gauteng were limited in compiling their 2017 financial statements to relying on the accounting records and limited supporting documents handed over after the financial year-end elapsed and subsequently verifying the accuracy of theses against the bank statements available.
Although the financial statements were compiled based on the bank statements and information available to the EXCO, the lack of all supporting documents being available(Supplier invoices etc) to substantiate every transaction makes it doubtful that the region will receive an unmodified audit opinion should the constitution be amended to demand an audit in terms of the International Standards of Auditing.</t>
  </si>
  <si>
    <t>i.iv</t>
  </si>
  <si>
    <t>Gauteng East unfortunately suffered the passing of their treasurer early in 2018 and due to the prolonged illness in 2017 have not been able to finalise their 2017 financials. The region has appointed a new treasurer as well as independent auditors to ensure that these matters are resolved but their financial results have not yet been included in this report at the date of issue.</t>
  </si>
  <si>
    <t>Statement of financial position (2017):</t>
  </si>
  <si>
    <t>Statement of financial position (2016):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</si>
</sst>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1" formatCode="_ * #,##0_ ;_ * \-#,##0_ ;_ * &quot;-&quot;_ ;_ @_ "/>
    <numFmt numFmtId="43" formatCode="_ * #,##0.00_ ;_ * \-#,##0.00_ ;_ * &quot;-&quot;??_ ;_ @_ "/>
    <numFmt numFmtId="164" formatCode="_ * #,##0_ ;_ * \-#,##0_ ;_ * &quot;-&quot;??_ ;_ @_ "/>
    <numFmt numFmtId="165" formatCode="[$-F800]dddd\,\ mmmm\ dd\,\ yyyy"/>
    <numFmt numFmtId="166" formatCode="_ * #,##0.00_ ;_ * \-#,##0.00_ ;_ * &quot;-&quot;_ ;_ @_ "/>
    <numFmt numFmtId="167" formatCode="_ * #,##0_ ;_ * \(#,##0\)_ ;_ * &quot;-&quot;??_ ;_ @_ "/>
    <numFmt numFmtId="171" formatCode="_ * #,##0.00_ ;_ * \-#,##0.00_ ;_ * &quot;-&quot;??_ ;_ @_ "/>
    <numFmt numFmtId="172" formatCode="_ [$R-1C09]\ * #,##0.00_ ;_ [$R-1C09]\ * \-#,##0.00_ ;_ [$R-1C09]\ * &quot;-&quot;??_ ;_ @_ "/>
    <numFmt numFmtId="173" formatCode="&quot;R&quot;\ #,##0.00"/>
  </numFmts>
  <fonts count="29" x14ac:knownFonts="1">
    <font>
      <sz val="11"/>
      <color theme="1"/>
      <name val="Calibri"/>
      <family val="2"/>
      <scheme val="minor"/>
    </font>
    <font>
      <sz val="11"/>
      <color theme="1"/>
      <name val="Calibri"/>
      <family val="2"/>
      <scheme val="minor"/>
    </font>
    <font>
      <b/>
      <sz val="11"/>
      <color theme="1"/>
      <name val="Calibri"/>
      <family val="2"/>
      <scheme val="minor"/>
    </font>
    <font>
      <sz val="8"/>
      <color theme="1"/>
      <name val="Calibri"/>
      <family val="2"/>
      <scheme val="minor"/>
    </font>
    <font>
      <sz val="9"/>
      <color theme="1"/>
      <name val="Calibri"/>
      <family val="2"/>
      <scheme val="minor"/>
    </font>
    <font>
      <b/>
      <sz val="9"/>
      <color theme="1"/>
      <name val="Calibri"/>
      <family val="2"/>
      <scheme val="minor"/>
    </font>
    <font>
      <b/>
      <sz val="10"/>
      <color theme="1"/>
      <name val="Calibri"/>
      <family val="2"/>
      <scheme val="minor"/>
    </font>
    <font>
      <sz val="10"/>
      <color theme="1"/>
      <name val="Calibri"/>
      <family val="2"/>
      <scheme val="minor"/>
    </font>
    <font>
      <b/>
      <u/>
      <sz val="11"/>
      <color theme="1"/>
      <name val="Calibri"/>
      <family val="2"/>
      <scheme val="minor"/>
    </font>
    <font>
      <sz val="9"/>
      <color theme="0"/>
      <name val="Calibri"/>
      <family val="2"/>
      <scheme val="minor"/>
    </font>
    <font>
      <sz val="12"/>
      <name val="Arial"/>
      <family val="2"/>
    </font>
    <font>
      <u/>
      <sz val="11"/>
      <color theme="10"/>
      <name val="Calibri"/>
      <family val="2"/>
      <scheme val="minor"/>
    </font>
    <font>
      <b/>
      <sz val="10"/>
      <name val="Calibri"/>
      <family val="2"/>
      <scheme val="minor"/>
    </font>
    <font>
      <sz val="11"/>
      <color theme="0"/>
      <name val="Calibri"/>
      <family val="2"/>
      <scheme val="minor"/>
    </font>
    <font>
      <b/>
      <sz val="10"/>
      <color theme="0"/>
      <name val="Calibri"/>
      <family val="2"/>
      <scheme val="minor"/>
    </font>
    <font>
      <sz val="6"/>
      <color rgb="FFFF0000"/>
      <name val="Calibri"/>
      <family val="2"/>
      <scheme val="minor"/>
    </font>
    <font>
      <sz val="9"/>
      <color indexed="81"/>
      <name val="Tahoma"/>
      <family val="2"/>
    </font>
    <font>
      <b/>
      <sz val="9"/>
      <color indexed="81"/>
      <name val="Tahoma"/>
      <family val="2"/>
    </font>
    <font>
      <b/>
      <u/>
      <sz val="9"/>
      <color theme="1"/>
      <name val="Calibri"/>
      <family val="2"/>
      <scheme val="minor"/>
    </font>
    <font>
      <sz val="10"/>
      <name val="Arial"/>
      <family val="2"/>
    </font>
    <font>
      <b/>
      <sz val="14"/>
      <name val="Arial"/>
      <family val="2"/>
    </font>
    <font>
      <sz val="14"/>
      <name val="Arial"/>
      <family val="2"/>
    </font>
    <font>
      <b/>
      <sz val="14"/>
      <color indexed="10"/>
      <name val="Arial"/>
      <family val="2"/>
    </font>
    <font>
      <b/>
      <u/>
      <sz val="14"/>
      <name val="Arial"/>
      <family val="2"/>
    </font>
    <font>
      <b/>
      <u/>
      <sz val="22"/>
      <name val="Arial"/>
      <family val="2"/>
    </font>
    <font>
      <b/>
      <sz val="14"/>
      <color rgb="FF00B050"/>
      <name val="Arial"/>
      <family val="2"/>
    </font>
    <font>
      <b/>
      <sz val="10"/>
      <name val="Arial"/>
      <family val="2"/>
    </font>
    <font>
      <b/>
      <u/>
      <sz val="10"/>
      <name val="Arial"/>
      <family val="2"/>
    </font>
    <font>
      <b/>
      <sz val="10"/>
      <color rgb="FFFF0000"/>
      <name val="Arial"/>
      <family val="2"/>
    </font>
  </fonts>
  <fills count="11">
    <fill>
      <patternFill patternType="none"/>
    </fill>
    <fill>
      <patternFill patternType="gray125"/>
    </fill>
    <fill>
      <patternFill patternType="solid">
        <fgColor theme="5" tint="0.79998168889431442"/>
        <bgColor indexed="64"/>
      </patternFill>
    </fill>
    <fill>
      <patternFill patternType="solid">
        <fgColor rgb="FF00B050"/>
        <bgColor indexed="64"/>
      </patternFill>
    </fill>
    <fill>
      <patternFill patternType="solid">
        <fgColor rgb="FF00B0F0"/>
        <bgColor indexed="64"/>
      </patternFill>
    </fill>
    <fill>
      <patternFill patternType="solid">
        <fgColor theme="4" tint="0.79998168889431442"/>
        <bgColor indexed="64"/>
      </patternFill>
    </fill>
    <fill>
      <patternFill patternType="solid">
        <fgColor theme="9" tint="-0.249977111117893"/>
        <bgColor indexed="64"/>
      </patternFill>
    </fill>
    <fill>
      <patternFill patternType="solid">
        <fgColor theme="7"/>
        <bgColor indexed="64"/>
      </patternFill>
    </fill>
    <fill>
      <patternFill patternType="solid">
        <fgColor indexed="22"/>
        <bgColor indexed="64"/>
      </patternFill>
    </fill>
    <fill>
      <patternFill patternType="solid">
        <fgColor theme="0" tint="-0.249977111117893"/>
        <bgColor indexed="64"/>
      </patternFill>
    </fill>
    <fill>
      <patternFill patternType="solid">
        <fgColor theme="0"/>
        <bgColor indexed="64"/>
      </patternFill>
    </fill>
  </fills>
  <borders count="15">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11" fillId="0" borderId="0" applyNumberFormat="0" applyFill="0" applyBorder="0" applyAlignment="0" applyProtection="0"/>
    <xf numFmtId="0" fontId="19" fillId="0" borderId="0"/>
    <xf numFmtId="171" fontId="19" fillId="0" borderId="0" applyFont="0" applyFill="0" applyBorder="0" applyAlignment="0" applyProtection="0"/>
  </cellStyleXfs>
  <cellXfs count="252">
    <xf numFmtId="0" fontId="0" fillId="0" borderId="0" xfId="0"/>
    <xf numFmtId="0" fontId="0" fillId="0" borderId="1" xfId="0" applyBorder="1"/>
    <xf numFmtId="0" fontId="0" fillId="0" borderId="0" xfId="0" applyAlignment="1">
      <alignment vertical="top"/>
    </xf>
    <xf numFmtId="0" fontId="0" fillId="0" borderId="1" xfId="0" applyBorder="1" applyAlignment="1">
      <alignment vertical="top"/>
    </xf>
    <xf numFmtId="0" fontId="0" fillId="0" borderId="0" xfId="0" applyAlignment="1">
      <alignment vertical="top" wrapText="1"/>
    </xf>
    <xf numFmtId="0" fontId="2" fillId="0" borderId="0" xfId="0" applyFont="1" applyAlignment="1">
      <alignment vertical="top"/>
    </xf>
    <xf numFmtId="0" fontId="0" fillId="0" borderId="0" xfId="0" applyBorder="1" applyAlignment="1">
      <alignment vertical="top"/>
    </xf>
    <xf numFmtId="0" fontId="2" fillId="0" borderId="0" xfId="0" applyFont="1"/>
    <xf numFmtId="49" fontId="0" fillId="0" borderId="0" xfId="0" applyNumberFormat="1" applyAlignment="1">
      <alignment horizontal="right"/>
    </xf>
    <xf numFmtId="0" fontId="2" fillId="0" borderId="0" xfId="0" applyFont="1" applyAlignment="1">
      <alignment horizontal="right"/>
    </xf>
    <xf numFmtId="49" fontId="0" fillId="0" borderId="1" xfId="0" applyNumberFormat="1" applyBorder="1" applyAlignment="1">
      <alignment vertical="top"/>
    </xf>
    <xf numFmtId="49" fontId="0" fillId="0" borderId="0" xfId="0" applyNumberFormat="1" applyAlignment="1">
      <alignment vertical="top" wrapText="1"/>
    </xf>
    <xf numFmtId="49" fontId="0" fillId="0" borderId="0" xfId="0" applyNumberFormat="1" applyAlignment="1">
      <alignment vertical="top"/>
    </xf>
    <xf numFmtId="49" fontId="2" fillId="0" borderId="0" xfId="0" applyNumberFormat="1" applyFont="1" applyAlignment="1">
      <alignment vertical="top"/>
    </xf>
    <xf numFmtId="0" fontId="0" fillId="0" borderId="0" xfId="0" applyBorder="1"/>
    <xf numFmtId="0" fontId="0" fillId="0" borderId="0" xfId="0" applyAlignment="1">
      <alignment horizontal="left" vertical="top" wrapText="1"/>
    </xf>
    <xf numFmtId="43" fontId="0" fillId="0" borderId="0" xfId="0" applyNumberFormat="1"/>
    <xf numFmtId="164" fontId="0" fillId="0" borderId="0" xfId="1" applyNumberFormat="1" applyFont="1"/>
    <xf numFmtId="2" fontId="0" fillId="0" borderId="0" xfId="0" applyNumberFormat="1"/>
    <xf numFmtId="9" fontId="0" fillId="0" borderId="0" xfId="2" applyFont="1"/>
    <xf numFmtId="49" fontId="0" fillId="0" borderId="0" xfId="0" applyNumberFormat="1" applyBorder="1" applyAlignment="1">
      <alignment vertical="top"/>
    </xf>
    <xf numFmtId="0" fontId="0" fillId="0" borderId="0" xfId="0"/>
    <xf numFmtId="0" fontId="2" fillId="0" borderId="0" xfId="0" applyFont="1" applyBorder="1" applyAlignment="1">
      <alignment vertical="top"/>
    </xf>
    <xf numFmtId="0" fontId="0" fillId="0" borderId="0" xfId="0" applyBorder="1" applyAlignment="1">
      <alignment horizontal="right"/>
    </xf>
    <xf numFmtId="0" fontId="0" fillId="0" borderId="0" xfId="0" applyBorder="1" applyAlignment="1">
      <alignment horizontal="center" wrapText="1"/>
    </xf>
    <xf numFmtId="9" fontId="0" fillId="0" borderId="0" xfId="0" applyNumberFormat="1"/>
    <xf numFmtId="0" fontId="0" fillId="0" borderId="0" xfId="0" applyFill="1" applyAlignment="1">
      <alignment horizontal="left" vertical="top" wrapText="1"/>
    </xf>
    <xf numFmtId="0" fontId="4" fillId="0" borderId="0" xfId="0" applyFont="1" applyAlignment="1">
      <alignment vertical="top"/>
    </xf>
    <xf numFmtId="0" fontId="4" fillId="0" borderId="0" xfId="0" applyFont="1" applyAlignment="1">
      <alignment horizontal="left" vertical="top" indent="1"/>
    </xf>
    <xf numFmtId="0" fontId="4" fillId="0" borderId="0" xfId="0" applyFont="1" applyAlignment="1">
      <alignment horizontal="left" vertical="top"/>
    </xf>
    <xf numFmtId="164" fontId="4" fillId="0" borderId="0" xfId="1" applyNumberFormat="1" applyFont="1" applyAlignment="1">
      <alignment vertical="top"/>
    </xf>
    <xf numFmtId="164" fontId="5" fillId="0" borderId="4" xfId="1" applyNumberFormat="1" applyFont="1" applyBorder="1" applyAlignment="1">
      <alignment vertical="top"/>
    </xf>
    <xf numFmtId="164" fontId="5" fillId="0" borderId="0" xfId="1" applyNumberFormat="1" applyFont="1" applyBorder="1" applyAlignment="1">
      <alignment vertical="top"/>
    </xf>
    <xf numFmtId="164" fontId="5" fillId="0" borderId="4" xfId="0" applyNumberFormat="1" applyFont="1" applyBorder="1" applyAlignment="1">
      <alignment vertical="top"/>
    </xf>
    <xf numFmtId="49" fontId="6" fillId="0" borderId="0" xfId="0" applyNumberFormat="1" applyFont="1" applyAlignment="1">
      <alignment vertical="top"/>
    </xf>
    <xf numFmtId="0" fontId="6" fillId="0" borderId="0" xfId="0" applyFont="1" applyAlignment="1">
      <alignment vertical="top"/>
    </xf>
    <xf numFmtId="49" fontId="5" fillId="0" borderId="0" xfId="0" applyNumberFormat="1" applyFont="1" applyAlignment="1">
      <alignment vertical="top"/>
    </xf>
    <xf numFmtId="164" fontId="4" fillId="0" borderId="0" xfId="0" applyNumberFormat="1" applyFont="1" applyAlignment="1">
      <alignment vertical="top"/>
    </xf>
    <xf numFmtId="49" fontId="4" fillId="0" borderId="0" xfId="0" applyNumberFormat="1" applyFont="1" applyAlignment="1">
      <alignment vertical="top"/>
    </xf>
    <xf numFmtId="0" fontId="4" fillId="0" borderId="0" xfId="0" applyFont="1" applyBorder="1" applyAlignment="1">
      <alignment vertical="top"/>
    </xf>
    <xf numFmtId="0" fontId="5" fillId="0" borderId="0" xfId="0" applyFont="1" applyAlignment="1">
      <alignment vertical="top"/>
    </xf>
    <xf numFmtId="49" fontId="2" fillId="0" borderId="2" xfId="0" applyNumberFormat="1" applyFont="1" applyBorder="1" applyAlignment="1">
      <alignment vertical="top"/>
    </xf>
    <xf numFmtId="0" fontId="2" fillId="0" borderId="2" xfId="0" applyFont="1" applyBorder="1" applyAlignment="1">
      <alignment vertical="top"/>
    </xf>
    <xf numFmtId="0" fontId="4" fillId="0" borderId="0" xfId="0" applyFont="1"/>
    <xf numFmtId="49" fontId="4" fillId="0" borderId="0" xfId="0" applyNumberFormat="1" applyFont="1" applyAlignment="1">
      <alignment horizontal="right"/>
    </xf>
    <xf numFmtId="0" fontId="5" fillId="0" borderId="0" xfId="0" applyFont="1"/>
    <xf numFmtId="0" fontId="7" fillId="0" borderId="0" xfId="0" applyFont="1"/>
    <xf numFmtId="49" fontId="7" fillId="0" borderId="0" xfId="0" applyNumberFormat="1" applyFont="1" applyAlignment="1">
      <alignment horizontal="right"/>
    </xf>
    <xf numFmtId="0" fontId="6" fillId="0" borderId="0" xfId="0" applyFont="1"/>
    <xf numFmtId="164" fontId="7" fillId="0" borderId="1" xfId="1" applyNumberFormat="1" applyFont="1" applyBorder="1"/>
    <xf numFmtId="164" fontId="7" fillId="0" borderId="0" xfId="1" applyNumberFormat="1" applyFont="1"/>
    <xf numFmtId="0" fontId="2" fillId="0" borderId="2" xfId="0" applyFont="1" applyBorder="1"/>
    <xf numFmtId="0" fontId="2" fillId="0" borderId="2" xfId="0" applyFont="1" applyBorder="1" applyAlignment="1">
      <alignment horizontal="right"/>
    </xf>
    <xf numFmtId="0" fontId="2" fillId="0" borderId="2" xfId="0" applyFont="1" applyBorder="1" applyAlignment="1">
      <alignment horizontal="center" wrapText="1"/>
    </xf>
    <xf numFmtId="0" fontId="4" fillId="0" borderId="0" xfId="0" applyFont="1" applyAlignment="1">
      <alignment horizontal="left" vertical="top" wrapText="1"/>
    </xf>
    <xf numFmtId="0" fontId="4" fillId="0" borderId="1" xfId="0" applyFont="1" applyBorder="1" applyAlignment="1">
      <alignment horizontal="left" vertical="top" wrapText="1"/>
    </xf>
    <xf numFmtId="164" fontId="7" fillId="0" borderId="4" xfId="1" applyNumberFormat="1" applyFont="1" applyBorder="1"/>
    <xf numFmtId="164" fontId="6" fillId="0" borderId="4" xfId="1" applyNumberFormat="1" applyFont="1" applyBorder="1"/>
    <xf numFmtId="0" fontId="8" fillId="0" borderId="0" xfId="0" applyFont="1"/>
    <xf numFmtId="0" fontId="4" fillId="0" borderId="0" xfId="0" applyFont="1" applyAlignment="1">
      <alignment horizontal="left" vertical="top" wrapText="1"/>
    </xf>
    <xf numFmtId="0" fontId="10" fillId="0" borderId="0" xfId="0" applyFont="1" applyAlignment="1">
      <alignment vertical="center"/>
    </xf>
    <xf numFmtId="0" fontId="0" fillId="0" borderId="0" xfId="0" applyFill="1"/>
    <xf numFmtId="0" fontId="4" fillId="0" borderId="0" xfId="0" applyFont="1" applyAlignment="1">
      <alignment horizontal="left" vertical="top" wrapText="1"/>
    </xf>
    <xf numFmtId="0" fontId="0" fillId="0" borderId="0" xfId="0"/>
    <xf numFmtId="0" fontId="0" fillId="0" borderId="0" xfId="0" quotePrefix="1"/>
    <xf numFmtId="0" fontId="4" fillId="0" borderId="0" xfId="0" applyFont="1" applyAlignment="1">
      <alignment vertical="top" wrapText="1"/>
    </xf>
    <xf numFmtId="0" fontId="2" fillId="0" borderId="2" xfId="0" applyFont="1" applyBorder="1" applyAlignment="1">
      <alignment horizontal="center"/>
    </xf>
    <xf numFmtId="164" fontId="6" fillId="0" borderId="3" xfId="1" applyNumberFormat="1" applyFont="1" applyBorder="1"/>
    <xf numFmtId="0" fontId="2" fillId="0" borderId="0" xfId="0" applyFont="1" applyAlignment="1">
      <alignment horizontal="left"/>
    </xf>
    <xf numFmtId="14" fontId="0" fillId="0" borderId="0" xfId="0" applyNumberFormat="1"/>
    <xf numFmtId="0" fontId="0" fillId="0" borderId="0" xfId="0" quotePrefix="1" applyNumberFormat="1"/>
    <xf numFmtId="0" fontId="0" fillId="0" borderId="0" xfId="0" applyNumberFormat="1"/>
    <xf numFmtId="10" fontId="0" fillId="0" borderId="0" xfId="2" applyNumberFormat="1" applyFont="1"/>
    <xf numFmtId="10" fontId="0" fillId="0" borderId="0" xfId="0" applyNumberFormat="1"/>
    <xf numFmtId="0" fontId="4" fillId="0" borderId="0" xfId="0" applyFont="1" applyAlignment="1">
      <alignment horizontal="left" vertical="top"/>
    </xf>
    <xf numFmtId="0" fontId="4" fillId="0" borderId="0" xfId="0" applyFont="1" applyFill="1" applyAlignment="1">
      <alignment horizontal="left" vertical="top" wrapText="1"/>
    </xf>
    <xf numFmtId="0" fontId="3" fillId="0" borderId="0" xfId="0" applyFont="1" applyAlignment="1">
      <alignment horizontal="left" vertical="top" wrapText="1"/>
    </xf>
    <xf numFmtId="0" fontId="0" fillId="0" borderId="0" xfId="0" quotePrefix="1" applyFill="1"/>
    <xf numFmtId="0" fontId="0" fillId="0" borderId="0" xfId="0" applyAlignment="1">
      <alignment horizontal="center"/>
    </xf>
    <xf numFmtId="0" fontId="11" fillId="3" borderId="0" xfId="3" applyFill="1" applyAlignment="1">
      <alignment horizontal="center"/>
    </xf>
    <xf numFmtId="0" fontId="11" fillId="2" borderId="0" xfId="3" applyFill="1" applyAlignment="1">
      <alignment horizontal="center"/>
    </xf>
    <xf numFmtId="0" fontId="11" fillId="4" borderId="0" xfId="3" applyFill="1" applyAlignment="1">
      <alignment horizontal="center"/>
    </xf>
    <xf numFmtId="0" fontId="11" fillId="5" borderId="0" xfId="3" applyFill="1" applyAlignment="1">
      <alignment horizontal="center"/>
    </xf>
    <xf numFmtId="0" fontId="7" fillId="0" borderId="0" xfId="0" applyFont="1" applyFill="1"/>
    <xf numFmtId="43" fontId="0" fillId="0" borderId="0" xfId="0" applyNumberFormat="1" applyFill="1"/>
    <xf numFmtId="0" fontId="0" fillId="0" borderId="0" xfId="0" applyNumberFormat="1" applyAlignment="1">
      <alignment horizontal="right"/>
    </xf>
    <xf numFmtId="0" fontId="3" fillId="0" borderId="0" xfId="0" applyFont="1" applyAlignment="1">
      <alignment vertical="top" wrapText="1"/>
    </xf>
    <xf numFmtId="164" fontId="2" fillId="0" borderId="4" xfId="1" applyNumberFormat="1" applyFont="1" applyBorder="1" applyAlignment="1">
      <alignment vertical="top"/>
    </xf>
    <xf numFmtId="49" fontId="4" fillId="0" borderId="0" xfId="0" applyNumberFormat="1" applyFont="1" applyAlignment="1">
      <alignment horizontal="right" vertical="top"/>
    </xf>
    <xf numFmtId="164" fontId="4" fillId="0" borderId="0" xfId="1" applyNumberFormat="1" applyFont="1" applyBorder="1" applyAlignment="1">
      <alignment vertical="top"/>
    </xf>
    <xf numFmtId="164" fontId="4" fillId="0" borderId="0" xfId="1" applyNumberFormat="1" applyFont="1" applyAlignment="1">
      <alignment vertical="top" wrapText="1"/>
    </xf>
    <xf numFmtId="164" fontId="4" fillId="0" borderId="0" xfId="1" applyNumberFormat="1" applyFont="1" applyAlignment="1">
      <alignment horizontal="left" vertical="top" wrapText="1"/>
    </xf>
    <xf numFmtId="164" fontId="0" fillId="0" borderId="0" xfId="1" applyNumberFormat="1" applyFont="1" applyAlignment="1">
      <alignment vertical="top"/>
    </xf>
    <xf numFmtId="164" fontId="7" fillId="0" borderId="0" xfId="1" applyNumberFormat="1" applyFont="1" applyAlignment="1">
      <alignment horizontal="right"/>
    </xf>
    <xf numFmtId="164" fontId="7" fillId="0" borderId="0" xfId="1" applyNumberFormat="1" applyFont="1" applyFill="1"/>
    <xf numFmtId="164" fontId="6" fillId="0" borderId="2" xfId="1" applyNumberFormat="1" applyFont="1" applyBorder="1"/>
    <xf numFmtId="164" fontId="6" fillId="0" borderId="0" xfId="1" applyNumberFormat="1" applyFont="1"/>
    <xf numFmtId="164" fontId="6" fillId="0" borderId="2" xfId="1" applyNumberFormat="1" applyFont="1" applyFill="1" applyBorder="1"/>
    <xf numFmtId="164" fontId="6" fillId="0" borderId="4" xfId="1" applyNumberFormat="1" applyFont="1" applyFill="1" applyBorder="1"/>
    <xf numFmtId="0" fontId="4" fillId="0" borderId="0" xfId="0" applyFont="1" applyFill="1" applyAlignment="1">
      <alignment vertical="top"/>
    </xf>
    <xf numFmtId="0" fontId="12" fillId="0" borderId="0" xfId="0" applyFont="1"/>
    <xf numFmtId="15" fontId="4" fillId="0" borderId="0" xfId="0" quotePrefix="1" applyNumberFormat="1" applyFont="1" applyBorder="1" applyAlignment="1">
      <alignment vertical="top"/>
    </xf>
    <xf numFmtId="0" fontId="0" fillId="0" borderId="0" xfId="0" applyFill="1" applyAlignment="1">
      <alignment vertical="top"/>
    </xf>
    <xf numFmtId="0" fontId="2" fillId="0" borderId="0" xfId="0" applyFont="1" applyFill="1" applyAlignment="1">
      <alignment vertical="top"/>
    </xf>
    <xf numFmtId="164" fontId="7" fillId="0" borderId="1" xfId="1" applyNumberFormat="1" applyFont="1" applyFill="1" applyBorder="1"/>
    <xf numFmtId="164" fontId="6" fillId="0" borderId="3" xfId="1" applyNumberFormat="1" applyFont="1" applyFill="1" applyBorder="1"/>
    <xf numFmtId="164" fontId="2" fillId="0" borderId="0" xfId="1" applyNumberFormat="1" applyFont="1"/>
    <xf numFmtId="164" fontId="2" fillId="0" borderId="4" xfId="1" applyNumberFormat="1" applyFont="1" applyBorder="1"/>
    <xf numFmtId="0" fontId="4" fillId="0" borderId="0" xfId="0" applyFont="1" applyAlignment="1">
      <alignment horizontal="left" vertical="top" wrapText="1"/>
    </xf>
    <xf numFmtId="0" fontId="4" fillId="0" borderId="0" xfId="0" applyFont="1" applyAlignment="1">
      <alignment horizontal="left" vertical="top"/>
    </xf>
    <xf numFmtId="167" fontId="4" fillId="0" borderId="0" xfId="1" applyNumberFormat="1" applyFont="1"/>
    <xf numFmtId="49" fontId="14" fillId="0" borderId="0" xfId="0" applyNumberFormat="1" applyFont="1" applyFill="1" applyAlignment="1">
      <alignment vertical="top"/>
    </xf>
    <xf numFmtId="0" fontId="14" fillId="0" borderId="0" xfId="0" applyFont="1" applyFill="1" applyAlignment="1">
      <alignment vertical="top"/>
    </xf>
    <xf numFmtId="0" fontId="13" fillId="0" borderId="0" xfId="0" applyFont="1" applyFill="1" applyAlignment="1">
      <alignment vertical="top"/>
    </xf>
    <xf numFmtId="49" fontId="13" fillId="0" borderId="0" xfId="0" applyNumberFormat="1" applyFont="1" applyFill="1" applyAlignment="1">
      <alignment vertical="top"/>
    </xf>
    <xf numFmtId="0" fontId="9" fillId="0" borderId="0" xfId="0" applyFont="1" applyFill="1" applyAlignment="1">
      <alignment vertical="top"/>
    </xf>
    <xf numFmtId="0" fontId="4" fillId="0" borderId="0" xfId="0" applyFont="1" applyAlignment="1">
      <alignment horizontal="left" vertical="top" wrapText="1"/>
    </xf>
    <xf numFmtId="15" fontId="0" fillId="0" borderId="0" xfId="0" applyNumberFormat="1"/>
    <xf numFmtId="165" fontId="4" fillId="0" borderId="0" xfId="0" applyNumberFormat="1" applyFont="1" applyFill="1" applyAlignment="1">
      <alignment horizontal="left" vertical="top"/>
    </xf>
    <xf numFmtId="0" fontId="15" fillId="0" borderId="0" xfId="0" applyFont="1"/>
    <xf numFmtId="0" fontId="0" fillId="4" borderId="0" xfId="0" applyFill="1"/>
    <xf numFmtId="14" fontId="0" fillId="4" borderId="0" xfId="0" applyNumberFormat="1" applyFill="1"/>
    <xf numFmtId="2" fontId="15" fillId="0" borderId="0" xfId="0" applyNumberFormat="1" applyFont="1"/>
    <xf numFmtId="0" fontId="0" fillId="0" borderId="0" xfId="0" applyAlignment="1">
      <alignment wrapText="1"/>
    </xf>
    <xf numFmtId="14" fontId="0" fillId="0" borderId="0" xfId="0" applyNumberFormat="1" applyFill="1"/>
    <xf numFmtId="0" fontId="2" fillId="5" borderId="0" xfId="0" quotePrefix="1" applyFont="1" applyFill="1"/>
    <xf numFmtId="0" fontId="2" fillId="5" borderId="0" xfId="0" applyFont="1" applyFill="1"/>
    <xf numFmtId="0" fontId="0" fillId="5" borderId="0" xfId="0" applyFill="1"/>
    <xf numFmtId="41" fontId="0" fillId="5" borderId="0" xfId="0" quotePrefix="1" applyNumberFormat="1" applyFill="1"/>
    <xf numFmtId="166" fontId="0" fillId="5" borderId="0" xfId="1" applyNumberFormat="1" applyFont="1" applyFill="1"/>
    <xf numFmtId="166" fontId="0" fillId="5" borderId="0" xfId="0" applyNumberFormat="1" applyFill="1"/>
    <xf numFmtId="0" fontId="0" fillId="0" borderId="0" xfId="0" applyAlignment="1">
      <alignment horizontal="left"/>
    </xf>
    <xf numFmtId="0" fontId="4" fillId="0" borderId="0" xfId="0" applyFont="1" applyAlignment="1">
      <alignment horizontal="left" vertical="top" wrapText="1"/>
    </xf>
    <xf numFmtId="0" fontId="3" fillId="0" borderId="0" xfId="0" applyFont="1" applyAlignment="1">
      <alignment horizontal="left" vertical="top" wrapText="1"/>
    </xf>
    <xf numFmtId="0" fontId="5" fillId="0" borderId="0" xfId="0" applyFont="1" applyAlignment="1">
      <alignment horizontal="left" vertical="top" wrapText="1"/>
    </xf>
    <xf numFmtId="49" fontId="0" fillId="0" borderId="8" xfId="0" applyNumberFormat="1" applyBorder="1" applyAlignment="1">
      <alignment vertical="top"/>
    </xf>
    <xf numFmtId="0" fontId="0" fillId="0" borderId="8" xfId="0" applyBorder="1" applyAlignment="1">
      <alignment vertical="top"/>
    </xf>
    <xf numFmtId="0" fontId="4" fillId="0" borderId="0" xfId="0" applyFont="1" applyFill="1" applyAlignment="1">
      <alignment horizontal="left" vertical="top" wrapText="1"/>
    </xf>
    <xf numFmtId="14" fontId="0" fillId="0" borderId="0" xfId="0" quotePrefix="1" applyNumberFormat="1"/>
    <xf numFmtId="0" fontId="0" fillId="4" borderId="0" xfId="0" quotePrefix="1" applyFill="1"/>
    <xf numFmtId="164" fontId="4" fillId="0" borderId="8" xfId="1" applyNumberFormat="1" applyFont="1" applyBorder="1" applyAlignment="1">
      <alignment vertical="top"/>
    </xf>
    <xf numFmtId="164" fontId="4" fillId="0" borderId="5" xfId="1" applyNumberFormat="1" applyFont="1" applyBorder="1" applyAlignment="1">
      <alignment vertical="center"/>
    </xf>
    <xf numFmtId="164" fontId="4" fillId="0" borderId="7" xfId="1" applyNumberFormat="1" applyFont="1" applyBorder="1" applyAlignment="1">
      <alignment vertical="center"/>
    </xf>
    <xf numFmtId="0" fontId="5" fillId="0" borderId="0" xfId="0" applyFont="1" applyAlignment="1">
      <alignment horizontal="left" vertical="top"/>
    </xf>
    <xf numFmtId="164" fontId="4" fillId="0" borderId="5" xfId="0" applyNumberFormat="1" applyFont="1" applyBorder="1" applyAlignment="1">
      <alignment vertical="top"/>
    </xf>
    <xf numFmtId="164" fontId="4" fillId="0" borderId="6" xfId="0" applyNumberFormat="1" applyFont="1" applyBorder="1" applyAlignment="1">
      <alignment vertical="top"/>
    </xf>
    <xf numFmtId="164" fontId="4" fillId="0" borderId="7" xfId="0" applyNumberFormat="1" applyFont="1" applyBorder="1" applyAlignment="1">
      <alignment vertical="top"/>
    </xf>
    <xf numFmtId="164" fontId="0" fillId="0" borderId="0" xfId="0" applyNumberFormat="1" applyAlignment="1">
      <alignment vertical="top"/>
    </xf>
    <xf numFmtId="164" fontId="4" fillId="0" borderId="13" xfId="0" applyNumberFormat="1" applyFont="1" applyBorder="1" applyAlignment="1">
      <alignment vertical="top"/>
    </xf>
    <xf numFmtId="164" fontId="7" fillId="0" borderId="13" xfId="0" applyNumberFormat="1" applyFont="1" applyBorder="1" applyAlignment="1">
      <alignment vertical="top"/>
    </xf>
    <xf numFmtId="164" fontId="6" fillId="0" borderId="0" xfId="0" applyNumberFormat="1" applyFont="1" applyAlignment="1">
      <alignment vertical="top"/>
    </xf>
    <xf numFmtId="164" fontId="5" fillId="0" borderId="0" xfId="0" applyNumberFormat="1" applyFont="1" applyAlignment="1">
      <alignment vertical="top"/>
    </xf>
    <xf numFmtId="0" fontId="4" fillId="0" borderId="0" xfId="0" applyFont="1" applyAlignment="1">
      <alignment horizontal="left" vertical="top" wrapText="1"/>
    </xf>
    <xf numFmtId="0" fontId="11" fillId="7" borderId="0" xfId="3" applyFill="1" applyAlignment="1">
      <alignment horizontal="center"/>
    </xf>
    <xf numFmtId="0" fontId="11" fillId="6" borderId="0" xfId="3" applyFill="1" applyAlignment="1">
      <alignment horizontal="center"/>
    </xf>
    <xf numFmtId="0" fontId="11" fillId="0" borderId="0" xfId="3" applyFill="1" applyAlignment="1">
      <alignment horizontal="center"/>
    </xf>
    <xf numFmtId="49" fontId="4" fillId="0" borderId="1" xfId="0" applyNumberFormat="1" applyFont="1" applyBorder="1" applyAlignment="1">
      <alignment horizontal="right" vertical="top"/>
    </xf>
    <xf numFmtId="0" fontId="4" fillId="0" borderId="1" xfId="0" applyFont="1" applyFill="1" applyBorder="1" applyAlignment="1">
      <alignment horizontal="left" vertical="top" wrapText="1"/>
    </xf>
    <xf numFmtId="0" fontId="0" fillId="0" borderId="0" xfId="0" applyAlignment="1">
      <alignment horizontal="left"/>
    </xf>
    <xf numFmtId="0" fontId="0" fillId="0" borderId="0" xfId="0" applyAlignment="1">
      <alignment horizontal="left" wrapText="1"/>
    </xf>
    <xf numFmtId="0" fontId="4" fillId="0" borderId="0" xfId="0" applyFont="1" applyAlignment="1">
      <alignment horizontal="left" vertical="top" wrapText="1"/>
    </xf>
    <xf numFmtId="0" fontId="4" fillId="0" borderId="0" xfId="0" applyFont="1" applyAlignment="1">
      <alignment horizontal="left" vertical="top"/>
    </xf>
    <xf numFmtId="0" fontId="4" fillId="0" borderId="0" xfId="0" applyFont="1" applyBorder="1" applyAlignment="1">
      <alignment horizontal="left" vertical="top" wrapText="1"/>
    </xf>
    <xf numFmtId="0" fontId="4" fillId="0" borderId="0" xfId="0" applyFont="1" applyFill="1" applyAlignment="1">
      <alignment horizontal="left" vertical="top" wrapText="1"/>
    </xf>
    <xf numFmtId="0" fontId="4" fillId="0" borderId="0" xfId="0" applyFont="1" applyAlignment="1">
      <alignment horizontal="left" wrapText="1"/>
    </xf>
    <xf numFmtId="0" fontId="6" fillId="0" borderId="0" xfId="0" applyFont="1" applyAlignment="1">
      <alignment horizontal="left" vertical="top" wrapText="1"/>
    </xf>
    <xf numFmtId="0" fontId="18"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indent="1"/>
    </xf>
    <xf numFmtId="0" fontId="4" fillId="0" borderId="12" xfId="0" applyFont="1" applyBorder="1" applyAlignment="1">
      <alignment horizontal="left" vertical="top" wrapText="1" indent="1"/>
    </xf>
    <xf numFmtId="0" fontId="5" fillId="0" borderId="0" xfId="0" applyFont="1" applyAlignment="1">
      <alignment horizontal="left" vertical="top" wrapText="1"/>
    </xf>
    <xf numFmtId="0" fontId="2" fillId="5" borderId="9" xfId="0" applyFont="1" applyFill="1" applyBorder="1" applyAlignment="1">
      <alignment horizontal="center"/>
    </xf>
    <xf numFmtId="0" fontId="2" fillId="5" borderId="10" xfId="0" applyFont="1" applyFill="1" applyBorder="1" applyAlignment="1">
      <alignment horizontal="center"/>
    </xf>
    <xf numFmtId="0" fontId="2" fillId="5" borderId="11" xfId="0" applyFont="1" applyFill="1" applyBorder="1" applyAlignment="1">
      <alignment horizontal="center"/>
    </xf>
    <xf numFmtId="43" fontId="0" fillId="0" borderId="0" xfId="1" applyFont="1"/>
    <xf numFmtId="43" fontId="0" fillId="0" borderId="0" xfId="1" applyNumberFormat="1" applyFont="1"/>
    <xf numFmtId="0" fontId="19" fillId="0" borderId="0" xfId="4"/>
    <xf numFmtId="0" fontId="20" fillId="0" borderId="0" xfId="4" applyFont="1"/>
    <xf numFmtId="0" fontId="20" fillId="0" borderId="0" xfId="4" applyFont="1" applyFill="1" applyAlignment="1"/>
    <xf numFmtId="0" fontId="20" fillId="0" borderId="0" xfId="4" applyFont="1" applyFill="1" applyAlignment="1">
      <alignment horizontal="center"/>
    </xf>
    <xf numFmtId="0" fontId="20" fillId="8" borderId="13" xfId="4" applyFont="1" applyFill="1" applyBorder="1"/>
    <xf numFmtId="171" fontId="20" fillId="8" borderId="13" xfId="4" applyNumberFormat="1" applyFont="1" applyFill="1" applyBorder="1" applyAlignment="1"/>
    <xf numFmtId="171" fontId="20" fillId="0" borderId="0" xfId="4" applyNumberFormat="1" applyFont="1" applyFill="1" applyBorder="1" applyAlignment="1">
      <alignment horizontal="center"/>
    </xf>
    <xf numFmtId="0" fontId="21" fillId="0" borderId="13" xfId="4" applyFont="1" applyBorder="1"/>
    <xf numFmtId="0" fontId="22" fillId="0" borderId="0" xfId="4" applyFont="1" applyFill="1" applyBorder="1" applyAlignment="1">
      <alignment horizontal="center"/>
    </xf>
    <xf numFmtId="0" fontId="21" fillId="0" borderId="0" xfId="4" applyFont="1" applyFill="1"/>
    <xf numFmtId="171" fontId="21" fillId="0" borderId="0" xfId="5" applyFont="1" applyFill="1" applyBorder="1" applyAlignment="1">
      <alignment horizontal="center"/>
    </xf>
    <xf numFmtId="0" fontId="21" fillId="0" borderId="0" xfId="4" applyFont="1" applyFill="1" applyBorder="1" applyAlignment="1">
      <alignment horizontal="center"/>
    </xf>
    <xf numFmtId="43" fontId="20" fillId="0" borderId="0" xfId="4" applyNumberFormat="1" applyFont="1" applyFill="1" applyBorder="1" applyAlignment="1">
      <alignment horizontal="center"/>
    </xf>
    <xf numFmtId="43" fontId="21" fillId="0" borderId="0" xfId="4" applyNumberFormat="1" applyFont="1"/>
    <xf numFmtId="171" fontId="21" fillId="0" borderId="0" xfId="5" applyFont="1" applyFill="1" applyAlignment="1"/>
    <xf numFmtId="172" fontId="20" fillId="9" borderId="13" xfId="4" applyNumberFormat="1" applyFont="1" applyFill="1" applyBorder="1" applyAlignment="1"/>
    <xf numFmtId="0" fontId="21" fillId="10" borderId="13" xfId="4" applyFont="1" applyFill="1" applyBorder="1"/>
    <xf numFmtId="0" fontId="21" fillId="0" borderId="0" xfId="4" applyFont="1" applyBorder="1"/>
    <xf numFmtId="0" fontId="21" fillId="0" borderId="0" xfId="4" applyFont="1" applyFill="1" applyBorder="1"/>
    <xf numFmtId="172" fontId="21" fillId="0" borderId="0" xfId="4" applyNumberFormat="1" applyFont="1" applyBorder="1"/>
    <xf numFmtId="0" fontId="20" fillId="10" borderId="13" xfId="4" applyFont="1" applyFill="1" applyBorder="1"/>
    <xf numFmtId="172" fontId="21" fillId="10" borderId="13" xfId="5" applyNumberFormat="1" applyFont="1" applyFill="1" applyBorder="1" applyAlignment="1"/>
    <xf numFmtId="0" fontId="23" fillId="0" borderId="13" xfId="4" applyFont="1" applyBorder="1"/>
    <xf numFmtId="172" fontId="21" fillId="10" borderId="13" xfId="4" applyNumberFormat="1" applyFont="1" applyFill="1" applyBorder="1"/>
    <xf numFmtId="172" fontId="20" fillId="10" borderId="5" xfId="4" applyNumberFormat="1" applyFont="1" applyFill="1" applyBorder="1"/>
    <xf numFmtId="0" fontId="21" fillId="10" borderId="0" xfId="4" applyFont="1" applyFill="1" applyBorder="1"/>
    <xf numFmtId="172" fontId="21" fillId="10" borderId="0" xfId="4" applyNumberFormat="1" applyFont="1" applyFill="1" applyBorder="1" applyAlignment="1"/>
    <xf numFmtId="172" fontId="21" fillId="0" borderId="0" xfId="4" applyNumberFormat="1" applyFont="1"/>
    <xf numFmtId="172" fontId="21" fillId="10" borderId="13" xfId="4" applyNumberFormat="1" applyFont="1" applyFill="1" applyBorder="1" applyAlignment="1"/>
    <xf numFmtId="172" fontId="21" fillId="10" borderId="13" xfId="5" applyNumberFormat="1" applyFont="1" applyFill="1" applyBorder="1"/>
    <xf numFmtId="0" fontId="24" fillId="0" borderId="0" xfId="4" applyFont="1"/>
    <xf numFmtId="172" fontId="21" fillId="10" borderId="0" xfId="4" applyNumberFormat="1" applyFont="1" applyFill="1" applyBorder="1"/>
    <xf numFmtId="0" fontId="21" fillId="10" borderId="5" xfId="4" applyFont="1" applyFill="1" applyBorder="1"/>
    <xf numFmtId="0" fontId="23" fillId="10" borderId="13" xfId="4" applyFont="1" applyFill="1" applyBorder="1"/>
    <xf numFmtId="172" fontId="20" fillId="10" borderId="13" xfId="4" applyNumberFormat="1" applyFont="1" applyFill="1" applyBorder="1"/>
    <xf numFmtId="0" fontId="21" fillId="10" borderId="14" xfId="4" applyFont="1" applyFill="1" applyBorder="1"/>
    <xf numFmtId="0" fontId="21" fillId="10" borderId="0" xfId="4" applyFont="1" applyFill="1"/>
    <xf numFmtId="0" fontId="10" fillId="10" borderId="0" xfId="4" applyFont="1" applyFill="1" applyBorder="1"/>
    <xf numFmtId="0" fontId="25" fillId="0" borderId="0" xfId="4" applyFont="1" applyFill="1" applyAlignment="1">
      <alignment horizontal="center"/>
    </xf>
    <xf numFmtId="172" fontId="25" fillId="0" borderId="0" xfId="4" applyNumberFormat="1" applyFont="1"/>
    <xf numFmtId="172" fontId="22" fillId="0" borderId="0" xfId="4" applyNumberFormat="1" applyFont="1" applyFill="1" applyBorder="1" applyAlignment="1">
      <alignment horizontal="center"/>
    </xf>
    <xf numFmtId="0" fontId="26" fillId="0" borderId="0" xfId="4" applyFont="1"/>
    <xf numFmtId="0" fontId="27" fillId="0" borderId="0" xfId="4" applyFont="1"/>
    <xf numFmtId="0" fontId="19" fillId="0" borderId="0" xfId="4" applyFont="1"/>
    <xf numFmtId="0" fontId="19" fillId="0" borderId="0" xfId="4" applyFont="1" applyAlignment="1">
      <alignment horizontal="left" wrapText="1"/>
    </xf>
    <xf numFmtId="14" fontId="19" fillId="0" borderId="0" xfId="4" applyNumberFormat="1"/>
    <xf numFmtId="0" fontId="19" fillId="0" borderId="0" xfId="4" applyAlignment="1">
      <alignment horizontal="center" wrapText="1"/>
    </xf>
    <xf numFmtId="0" fontId="19" fillId="0" borderId="0" xfId="4" applyFont="1" applyAlignment="1">
      <alignment horizontal="center" wrapText="1"/>
    </xf>
    <xf numFmtId="0" fontId="26" fillId="9" borderId="0" xfId="4" applyFont="1" applyFill="1"/>
    <xf numFmtId="0" fontId="19" fillId="9" borderId="0" xfId="4" applyFill="1"/>
    <xf numFmtId="173" fontId="19" fillId="9" borderId="0" xfId="4" applyNumberFormat="1" applyFill="1"/>
    <xf numFmtId="173" fontId="19" fillId="0" borderId="0" xfId="4" applyNumberFormat="1"/>
    <xf numFmtId="0" fontId="19" fillId="0" borderId="0" xfId="4" applyAlignment="1">
      <alignment horizontal="left" wrapText="1"/>
    </xf>
    <xf numFmtId="0" fontId="19" fillId="0" borderId="0" xfId="4" applyFont="1" applyAlignment="1">
      <alignment horizontal="right"/>
    </xf>
    <xf numFmtId="0" fontId="28" fillId="0" borderId="0" xfId="4" applyFont="1"/>
    <xf numFmtId="0" fontId="28" fillId="0" borderId="0" xfId="4" applyFont="1" applyAlignment="1">
      <alignment horizontal="right"/>
    </xf>
    <xf numFmtId="173" fontId="28" fillId="0" borderId="0" xfId="4" applyNumberFormat="1" applyFont="1"/>
    <xf numFmtId="0" fontId="19" fillId="0" borderId="0" xfId="4" applyAlignment="1">
      <alignment horizontal="center" vertical="center"/>
    </xf>
    <xf numFmtId="0" fontId="19" fillId="0" borderId="0" xfId="4" applyAlignment="1">
      <alignment horizontal="center" vertical="center"/>
    </xf>
    <xf numFmtId="0" fontId="19" fillId="0" borderId="0" xfId="4" applyFont="1" applyAlignment="1">
      <alignment horizontal="left" wrapText="1"/>
    </xf>
    <xf numFmtId="0" fontId="19" fillId="0" borderId="1" xfId="4" applyFont="1" applyBorder="1"/>
    <xf numFmtId="0" fontId="19" fillId="0" borderId="1" xfId="4" applyBorder="1"/>
    <xf numFmtId="0" fontId="0" fillId="0" borderId="1" xfId="0" applyFill="1" applyBorder="1" applyAlignment="1">
      <alignment vertical="top"/>
    </xf>
    <xf numFmtId="164" fontId="0" fillId="0" borderId="0" xfId="1" applyNumberFormat="1" applyFont="1" applyFill="1" applyAlignment="1">
      <alignment vertical="top"/>
    </xf>
    <xf numFmtId="0" fontId="0" fillId="0" borderId="0" xfId="0" applyFill="1" applyBorder="1" applyAlignment="1">
      <alignment vertical="top"/>
    </xf>
    <xf numFmtId="0" fontId="5" fillId="0" borderId="0" xfId="0" applyFont="1" applyAlignment="1">
      <alignment horizontal="center" vertical="center" wrapText="1"/>
    </xf>
    <xf numFmtId="0" fontId="18" fillId="0" borderId="0" xfId="0" applyFont="1" applyFill="1" applyAlignment="1">
      <alignment vertical="top"/>
    </xf>
    <xf numFmtId="0" fontId="5" fillId="0" borderId="0" xfId="0" applyFont="1" applyFill="1" applyAlignment="1">
      <alignment vertical="top"/>
    </xf>
    <xf numFmtId="164" fontId="5" fillId="0" borderId="0" xfId="1" applyNumberFormat="1" applyFont="1" applyFill="1" applyAlignment="1">
      <alignment vertical="top"/>
    </xf>
    <xf numFmtId="164" fontId="4" fillId="0" borderId="0" xfId="1" applyNumberFormat="1" applyFont="1" applyFill="1" applyAlignment="1">
      <alignment vertical="top"/>
    </xf>
    <xf numFmtId="0" fontId="6" fillId="0" borderId="0" xfId="0" applyFont="1" applyAlignment="1">
      <alignment horizontal="center" vertical="center" wrapText="1"/>
    </xf>
    <xf numFmtId="0" fontId="6" fillId="0" borderId="0" xfId="0" applyFont="1" applyFill="1" applyAlignment="1">
      <alignment vertical="top"/>
    </xf>
    <xf numFmtId="49" fontId="0" fillId="0" borderId="0" xfId="0" applyNumberFormat="1" applyAlignment="1">
      <alignment horizontal="right" vertical="top"/>
    </xf>
    <xf numFmtId="0" fontId="4" fillId="0" borderId="0" xfId="0" applyFont="1" applyAlignment="1">
      <alignment horizontal="center" vertical="top" wrapText="1"/>
    </xf>
    <xf numFmtId="164" fontId="5" fillId="0" borderId="0" xfId="1" applyNumberFormat="1" applyFont="1" applyAlignment="1">
      <alignment vertical="top" wrapText="1"/>
    </xf>
    <xf numFmtId="164" fontId="5" fillId="0" borderId="2" xfId="0" applyNumberFormat="1" applyFont="1" applyBorder="1" applyAlignment="1">
      <alignment vertical="top" wrapText="1"/>
    </xf>
  </cellXfs>
  <cellStyles count="6">
    <cellStyle name="Comma" xfId="1" builtinId="3"/>
    <cellStyle name="Comma 2" xfId="5"/>
    <cellStyle name="Hyperlink" xfId="3" builtinId="8"/>
    <cellStyle name="Normal" xfId="0" builtinId="0"/>
    <cellStyle name="Normal 2" xfId="4"/>
    <cellStyle name="Percent" xfId="2" builtinId="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933443</xdr:colOff>
      <xdr:row>22</xdr:row>
      <xdr:rowOff>180975</xdr:rowOff>
    </xdr:from>
    <xdr:to>
      <xdr:col>7</xdr:col>
      <xdr:colOff>306623</xdr:colOff>
      <xdr:row>34</xdr:row>
      <xdr:rowOff>126975</xdr:rowOff>
    </xdr:to>
    <xdr:pic>
      <xdr:nvPicPr>
        <xdr:cNvPr id="2" name="Picture 1" descr="icon.png">
          <a:extLst>
            <a:ext uri="{FF2B5EF4-FFF2-40B4-BE49-F238E27FC236}">
              <a16:creationId xmlns:a16="http://schemas.microsoft.com/office/drawing/2014/main" id="{8FCCF7B9-3C20-4467-A1C7-8932F05E41C9}"/>
            </a:ext>
          </a:extLst>
        </xdr:cNvPr>
        <xdr:cNvPicPr>
          <a:picLocks noChangeAspect="1"/>
        </xdr:cNvPicPr>
      </xdr:nvPicPr>
      <xdr:blipFill>
        <a:blip xmlns:r="http://schemas.openxmlformats.org/officeDocument/2006/relationships" r:embed="rId1"/>
        <a:stretch>
          <a:fillRect/>
        </a:stretch>
      </xdr:blipFill>
      <xdr:spPr>
        <a:xfrm>
          <a:off x="1619243" y="4371975"/>
          <a:ext cx="3668955" cy="223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3.bin"/><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customProperty" Target="../customProperty9.bin"/><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customProperty" Target="../customProperty10.bin"/><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customProperty" Target="../customProperty11.bin"/><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customProperty" Target="../customProperty12.bin"/><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customProperty" Target="../customProperty13.bin"/><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customProperty" Target="../customProperty14.bin"/></Relationships>
</file>

<file path=xl/worksheets/_rels/sheet18.xml.rels><?xml version="1.0" encoding="UTF-8" standalone="yes"?>
<Relationships xmlns="http://schemas.openxmlformats.org/package/2006/relationships"><Relationship Id="rId1" Type="http://schemas.openxmlformats.org/officeDocument/2006/relationships/customProperty" Target="../customProperty15.bin"/></Relationships>
</file>

<file path=xl/worksheets/_rels/sheet19.xml.rels><?xml version="1.0" encoding="UTF-8" standalone="yes"?>
<Relationships xmlns="http://schemas.openxmlformats.org/package/2006/relationships"><Relationship Id="rId1" Type="http://schemas.openxmlformats.org/officeDocument/2006/relationships/customProperty" Target="../customProperty16.bin"/></Relationships>
</file>

<file path=xl/worksheets/_rels/sheet20.xml.rels><?xml version="1.0" encoding="UTF-8" standalone="yes"?>
<Relationships xmlns="http://schemas.openxmlformats.org/package/2006/relationships"><Relationship Id="rId1" Type="http://schemas.openxmlformats.org/officeDocument/2006/relationships/customProperty" Target="../customProperty17.bin"/></Relationships>
</file>

<file path=xl/worksheets/_rels/sheet21.xml.rels><?xml version="1.0" encoding="UTF-8" standalone="yes"?>
<Relationships xmlns="http://schemas.openxmlformats.org/package/2006/relationships"><Relationship Id="rId1" Type="http://schemas.openxmlformats.org/officeDocument/2006/relationships/customProperty" Target="../customProperty18.bin"/></Relationships>
</file>

<file path=xl/worksheets/_rels/sheet22.xml.rels><?xml version="1.0" encoding="UTF-8" standalone="yes"?>
<Relationships xmlns="http://schemas.openxmlformats.org/package/2006/relationships"><Relationship Id="rId2" Type="http://schemas.openxmlformats.org/officeDocument/2006/relationships/customProperty" Target="../customProperty19.bin"/><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2" Type="http://schemas.openxmlformats.org/officeDocument/2006/relationships/customProperty" Target="../customProperty20.bin"/><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2:B24"/>
  <sheetViews>
    <sheetView workbookViewId="0"/>
  </sheetViews>
  <sheetFormatPr defaultRowHeight="15" x14ac:dyDescent="0.25"/>
  <cols>
    <col min="1" max="1" width="20.140625" style="63" bestFit="1" customWidth="1"/>
    <col min="2" max="16384" width="9.140625" style="63"/>
  </cols>
  <sheetData>
    <row r="2" spans="1:2" x14ac:dyDescent="0.25">
      <c r="A2" s="153" t="s">
        <v>653</v>
      </c>
      <c r="B2" s="63" t="s">
        <v>654</v>
      </c>
    </row>
    <row r="3" spans="1:2" x14ac:dyDescent="0.25">
      <c r="A3" s="78"/>
    </row>
    <row r="4" spans="1:2" x14ac:dyDescent="0.25">
      <c r="A4" s="154" t="s">
        <v>642</v>
      </c>
      <c r="B4" s="63" t="s">
        <v>641</v>
      </c>
    </row>
    <row r="5" spans="1:2" x14ac:dyDescent="0.25">
      <c r="A5" s="155"/>
    </row>
    <row r="6" spans="1:2" x14ac:dyDescent="0.25">
      <c r="A6" s="79" t="s">
        <v>644</v>
      </c>
      <c r="B6" s="63" t="s">
        <v>643</v>
      </c>
    </row>
    <row r="7" spans="1:2" x14ac:dyDescent="0.25">
      <c r="A7" s="79" t="s">
        <v>646</v>
      </c>
      <c r="B7" s="63" t="s">
        <v>645</v>
      </c>
    </row>
    <row r="8" spans="1:2" x14ac:dyDescent="0.25">
      <c r="A8" s="78"/>
    </row>
    <row r="9" spans="1:2" x14ac:dyDescent="0.25">
      <c r="A9" s="80" t="s">
        <v>430</v>
      </c>
      <c r="B9" s="63" t="s">
        <v>647</v>
      </c>
    </row>
    <row r="10" spans="1:2" x14ac:dyDescent="0.25">
      <c r="A10" s="80" t="s">
        <v>431</v>
      </c>
      <c r="B10" s="63" t="s">
        <v>648</v>
      </c>
    </row>
    <row r="11" spans="1:2" x14ac:dyDescent="0.25">
      <c r="A11" s="78"/>
    </row>
    <row r="12" spans="1:2" x14ac:dyDescent="0.25">
      <c r="A12" s="81" t="s">
        <v>410</v>
      </c>
      <c r="B12" s="63" t="s">
        <v>411</v>
      </c>
    </row>
    <row r="13" spans="1:2" x14ac:dyDescent="0.25">
      <c r="A13" s="78"/>
    </row>
    <row r="14" spans="1:2" x14ac:dyDescent="0.25">
      <c r="A14" s="82" t="s">
        <v>412</v>
      </c>
      <c r="B14" s="63" t="s">
        <v>413</v>
      </c>
    </row>
    <row r="15" spans="1:2" x14ac:dyDescent="0.25">
      <c r="A15" s="82" t="s">
        <v>414</v>
      </c>
      <c r="B15" s="63" t="s">
        <v>415</v>
      </c>
    </row>
    <row r="16" spans="1:2" x14ac:dyDescent="0.25">
      <c r="A16" s="82" t="s">
        <v>22</v>
      </c>
      <c r="B16" s="63" t="s">
        <v>416</v>
      </c>
    </row>
    <row r="17" spans="1:2" x14ac:dyDescent="0.25">
      <c r="A17" s="82" t="s">
        <v>417</v>
      </c>
      <c r="B17" s="63" t="s">
        <v>418</v>
      </c>
    </row>
    <row r="18" spans="1:2" x14ac:dyDescent="0.25">
      <c r="A18" s="82" t="s">
        <v>419</v>
      </c>
      <c r="B18" s="63" t="s">
        <v>420</v>
      </c>
    </row>
    <row r="19" spans="1:2" x14ac:dyDescent="0.25">
      <c r="A19" s="82" t="s">
        <v>421</v>
      </c>
      <c r="B19" s="63" t="s">
        <v>649</v>
      </c>
    </row>
    <row r="20" spans="1:2" x14ac:dyDescent="0.25">
      <c r="A20" s="82" t="s">
        <v>422</v>
      </c>
      <c r="B20" s="63" t="s">
        <v>650</v>
      </c>
    </row>
    <row r="21" spans="1:2" x14ac:dyDescent="0.25">
      <c r="A21" s="82" t="s">
        <v>423</v>
      </c>
      <c r="B21" s="63" t="s">
        <v>651</v>
      </c>
    </row>
    <row r="22" spans="1:2" x14ac:dyDescent="0.25">
      <c r="A22" s="82" t="s">
        <v>424</v>
      </c>
      <c r="B22" s="63" t="s">
        <v>652</v>
      </c>
    </row>
    <row r="23" spans="1:2" x14ac:dyDescent="0.25">
      <c r="A23" s="82" t="s">
        <v>425</v>
      </c>
      <c r="B23" s="63" t="s">
        <v>426</v>
      </c>
    </row>
    <row r="24" spans="1:2" x14ac:dyDescent="0.25">
      <c r="A24" s="82" t="s">
        <v>427</v>
      </c>
      <c r="B24" s="63" t="s">
        <v>428</v>
      </c>
    </row>
  </sheetData>
  <hyperlinks>
    <hyperlink ref="A6" location="TB_2016!A1" display="TB 2016"/>
    <hyperlink ref="A7" location="GL_2016!A1" display="GL 2016"/>
    <hyperlink ref="A9" location="TB_2015!A1" display="TB 2015"/>
    <hyperlink ref="A10" location="GL_2015!A1" display="GL 2015"/>
    <hyperlink ref="A12" location="Workings!A1" display="WORKINGS"/>
    <hyperlink ref="A14" location="cover!A1" display="Cover"/>
    <hyperlink ref="A15" location="'General info'!A1" display="General info"/>
    <hyperlink ref="A16" location="Index!A1" display="Index"/>
    <hyperlink ref="A17" location="'Resp&amp;Approval'!A1" display="Resp&amp;Approval"/>
    <hyperlink ref="A18" location="'Treasurer report'!A1" display="Treasurer report"/>
    <hyperlink ref="A19" location="SOFP!A1" display="SOFP"/>
    <hyperlink ref="A20" location="SOCI!A1" display="SOCI"/>
    <hyperlink ref="A21" location="SOCE!A1" display="SOCE"/>
    <hyperlink ref="A22" location="SCF!A1" display="SCF"/>
    <hyperlink ref="A23" location="'Acc policies'!A1" display="Acc policies"/>
    <hyperlink ref="A24" location="Notes!A1" display="Notes"/>
    <hyperlink ref="A4" location="GC_Bank_Statements!A1" display="GC_Bank_Statements"/>
    <hyperlink ref="A2" location="'Follow up'!A1" display="Follow up"/>
  </hyperlinks>
  <pageMargins left="0.7" right="0.7" top="0.75" bottom="0.75" header="0.3" footer="0.3"/>
  <pageSetup paperSize="9" orientation="portrait" r:id="rId1"/>
  <customProperties>
    <customPr name="_pios_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2:Y45"/>
  <sheetViews>
    <sheetView workbookViewId="0">
      <selection activeCell="E2" sqref="E2"/>
    </sheetView>
  </sheetViews>
  <sheetFormatPr defaultRowHeight="15" x14ac:dyDescent="0.25"/>
  <sheetData>
    <row r="2" spans="1:25" s="63" customFormat="1" x14ac:dyDescent="0.25">
      <c r="A2" s="63" t="s">
        <v>482</v>
      </c>
    </row>
    <row r="3" spans="1:25" s="63" customFormat="1" x14ac:dyDescent="0.25">
      <c r="B3" s="63" t="s">
        <v>655</v>
      </c>
    </row>
    <row r="4" spans="1:25" s="63" customFormat="1" x14ac:dyDescent="0.25"/>
    <row r="5" spans="1:25" s="63" customFormat="1" x14ac:dyDescent="0.25">
      <c r="A5" s="63" t="s">
        <v>483</v>
      </c>
    </row>
    <row r="6" spans="1:25" s="63" customFormat="1" x14ac:dyDescent="0.25">
      <c r="B6" s="63" t="s">
        <v>631</v>
      </c>
    </row>
    <row r="7" spans="1:25" s="63" customFormat="1" x14ac:dyDescent="0.25"/>
    <row r="8" spans="1:25" s="63" customFormat="1" x14ac:dyDescent="0.25">
      <c r="A8" s="63" t="s">
        <v>632</v>
      </c>
    </row>
    <row r="9" spans="1:25" s="131" customFormat="1" ht="29.25" customHeight="1" x14ac:dyDescent="0.25">
      <c r="A9" s="131" t="s">
        <v>538</v>
      </c>
      <c r="B9" s="159" t="s">
        <v>537</v>
      </c>
      <c r="C9" s="159"/>
      <c r="D9" s="159"/>
      <c r="E9" s="159"/>
      <c r="F9" s="159"/>
      <c r="G9" s="159"/>
      <c r="H9" s="159"/>
      <c r="I9" s="159"/>
      <c r="J9" s="159"/>
      <c r="K9" s="159"/>
      <c r="L9" s="159"/>
      <c r="M9" s="159"/>
      <c r="N9" s="159"/>
      <c r="O9" s="159"/>
      <c r="P9" s="159"/>
      <c r="Q9" s="159"/>
      <c r="R9" s="159"/>
      <c r="S9" s="159"/>
      <c r="T9" s="159"/>
      <c r="U9" s="159"/>
      <c r="V9" s="159"/>
      <c r="W9" s="159"/>
      <c r="X9" s="159"/>
      <c r="Y9" s="159"/>
    </row>
    <row r="10" spans="1:25" s="131" customFormat="1" ht="29.25" customHeight="1" x14ac:dyDescent="0.25">
      <c r="A10" s="131" t="s">
        <v>543</v>
      </c>
      <c r="B10" s="159" t="s">
        <v>544</v>
      </c>
      <c r="C10" s="159"/>
      <c r="D10" s="159"/>
      <c r="E10" s="159"/>
      <c r="F10" s="159"/>
      <c r="G10" s="159"/>
      <c r="H10" s="159"/>
      <c r="I10" s="159"/>
      <c r="J10" s="159"/>
      <c r="K10" s="159"/>
      <c r="L10" s="159"/>
      <c r="M10" s="159"/>
      <c r="N10" s="159"/>
      <c r="O10" s="159"/>
      <c r="P10" s="159"/>
      <c r="Q10" s="159"/>
      <c r="R10" s="159"/>
      <c r="S10" s="159"/>
      <c r="T10" s="159"/>
      <c r="U10" s="159"/>
      <c r="V10" s="159"/>
      <c r="W10" s="159"/>
      <c r="X10" s="159"/>
      <c r="Y10" s="159"/>
    </row>
    <row r="11" spans="1:25" s="131" customFormat="1" ht="29.25" customHeight="1" x14ac:dyDescent="0.25">
      <c r="A11" s="131" t="s">
        <v>543</v>
      </c>
      <c r="B11" s="159" t="s">
        <v>545</v>
      </c>
      <c r="C11" s="159"/>
      <c r="D11" s="159"/>
      <c r="E11" s="159"/>
      <c r="F11" s="159"/>
      <c r="G11" s="159"/>
      <c r="H11" s="159"/>
      <c r="I11" s="159"/>
      <c r="J11" s="159"/>
      <c r="K11" s="159"/>
      <c r="L11" s="159"/>
      <c r="M11" s="159"/>
      <c r="N11" s="159"/>
      <c r="O11" s="159"/>
      <c r="P11" s="159"/>
      <c r="Q11" s="159"/>
      <c r="R11" s="159"/>
      <c r="S11" s="159"/>
      <c r="T11" s="159"/>
      <c r="U11" s="159"/>
      <c r="V11" s="159"/>
      <c r="W11" s="159"/>
      <c r="X11" s="159"/>
      <c r="Y11" s="159"/>
    </row>
    <row r="12" spans="1:25" s="63" customFormat="1" x14ac:dyDescent="0.25">
      <c r="A12" s="63" t="s">
        <v>538</v>
      </c>
      <c r="B12" s="158" t="s">
        <v>539</v>
      </c>
      <c r="C12" s="158"/>
      <c r="D12" s="158"/>
      <c r="E12" s="158"/>
      <c r="F12" s="158"/>
      <c r="G12" s="158"/>
      <c r="H12" s="158"/>
      <c r="I12" s="158"/>
      <c r="J12" s="158"/>
      <c r="K12" s="158"/>
      <c r="L12" s="158"/>
      <c r="M12" s="158"/>
      <c r="N12" s="158"/>
      <c r="O12" s="158"/>
      <c r="P12" s="158"/>
      <c r="Q12" s="158"/>
      <c r="R12" s="158"/>
      <c r="S12" s="158"/>
      <c r="T12" s="158"/>
      <c r="U12" s="158"/>
      <c r="V12" s="158"/>
      <c r="W12" s="158"/>
      <c r="X12" s="158"/>
      <c r="Y12" s="158"/>
    </row>
    <row r="13" spans="1:25" s="63" customFormat="1" x14ac:dyDescent="0.25">
      <c r="A13" s="63" t="s">
        <v>538</v>
      </c>
      <c r="B13" s="158" t="s">
        <v>540</v>
      </c>
      <c r="C13" s="158"/>
      <c r="D13" s="158"/>
      <c r="E13" s="158"/>
      <c r="F13" s="158"/>
      <c r="G13" s="158"/>
      <c r="H13" s="158"/>
      <c r="I13" s="158"/>
      <c r="J13" s="158"/>
      <c r="K13" s="158"/>
      <c r="L13" s="158"/>
      <c r="M13" s="158"/>
      <c r="N13" s="158"/>
      <c r="O13" s="158"/>
      <c r="P13" s="158"/>
      <c r="Q13" s="158"/>
      <c r="R13" s="158"/>
      <c r="S13" s="158"/>
      <c r="T13" s="158"/>
      <c r="U13" s="158"/>
      <c r="V13" s="158"/>
      <c r="W13" s="158"/>
      <c r="X13" s="158"/>
      <c r="Y13" s="158"/>
    </row>
    <row r="14" spans="1:25" s="63" customFormat="1" x14ac:dyDescent="0.25">
      <c r="A14" s="63" t="s">
        <v>542</v>
      </c>
      <c r="B14" s="158" t="s">
        <v>541</v>
      </c>
      <c r="C14" s="158"/>
      <c r="D14" s="158"/>
      <c r="E14" s="158"/>
      <c r="F14" s="158"/>
      <c r="G14" s="158"/>
      <c r="H14" s="158"/>
      <c r="I14" s="158"/>
      <c r="J14" s="158"/>
      <c r="K14" s="158"/>
      <c r="L14" s="158"/>
      <c r="M14" s="158"/>
      <c r="N14" s="158"/>
      <c r="O14" s="158"/>
      <c r="P14" s="158"/>
      <c r="Q14" s="158"/>
      <c r="R14" s="158"/>
      <c r="S14" s="158"/>
      <c r="T14" s="158"/>
      <c r="U14" s="158"/>
      <c r="V14" s="158"/>
      <c r="W14" s="158"/>
      <c r="X14" s="158"/>
      <c r="Y14" s="158"/>
    </row>
    <row r="15" spans="1:25" s="63" customFormat="1" x14ac:dyDescent="0.25"/>
    <row r="16" spans="1:25" x14ac:dyDescent="0.25">
      <c r="A16" t="s">
        <v>633</v>
      </c>
    </row>
    <row r="17" spans="1:1" s="21" customFormat="1" x14ac:dyDescent="0.25">
      <c r="A17" s="21" t="s">
        <v>190</v>
      </c>
    </row>
    <row r="18" spans="1:1" x14ac:dyDescent="0.25">
      <c r="A18" t="s">
        <v>634</v>
      </c>
    </row>
    <row r="19" spans="1:1" x14ac:dyDescent="0.25">
      <c r="A19" t="s">
        <v>189</v>
      </c>
    </row>
    <row r="20" spans="1:1" x14ac:dyDescent="0.25">
      <c r="A20" t="s">
        <v>635</v>
      </c>
    </row>
    <row r="21" spans="1:1" x14ac:dyDescent="0.25">
      <c r="A21" t="s">
        <v>636</v>
      </c>
    </row>
    <row r="23" spans="1:1" x14ac:dyDescent="0.25">
      <c r="A23" t="s">
        <v>637</v>
      </c>
    </row>
    <row r="25" spans="1:1" x14ac:dyDescent="0.25">
      <c r="A25" t="s">
        <v>638</v>
      </c>
    </row>
    <row r="27" spans="1:1" x14ac:dyDescent="0.25">
      <c r="A27" t="s">
        <v>396</v>
      </c>
    </row>
    <row r="28" spans="1:1" x14ac:dyDescent="0.25">
      <c r="A28" t="s">
        <v>397</v>
      </c>
    </row>
    <row r="29" spans="1:1" x14ac:dyDescent="0.25">
      <c r="A29" s="60"/>
    </row>
    <row r="30" spans="1:1" x14ac:dyDescent="0.25">
      <c r="A30" s="63" t="s">
        <v>639</v>
      </c>
    </row>
    <row r="31" spans="1:1" s="63" customFormat="1" x14ac:dyDescent="0.25"/>
    <row r="32" spans="1:1" s="63" customFormat="1" x14ac:dyDescent="0.25">
      <c r="A32" s="63" t="s">
        <v>399</v>
      </c>
    </row>
    <row r="33" spans="1:1" s="63" customFormat="1" x14ac:dyDescent="0.25"/>
    <row r="34" spans="1:1" s="63" customFormat="1" x14ac:dyDescent="0.25">
      <c r="A34" s="63" t="s">
        <v>400</v>
      </c>
    </row>
    <row r="35" spans="1:1" s="63" customFormat="1" x14ac:dyDescent="0.25"/>
    <row r="36" spans="1:1" s="63" customFormat="1" x14ac:dyDescent="0.25">
      <c r="A36" s="63" t="s">
        <v>640</v>
      </c>
    </row>
    <row r="37" spans="1:1" s="63" customFormat="1" x14ac:dyDescent="0.25"/>
    <row r="38" spans="1:1" s="63" customFormat="1" x14ac:dyDescent="0.25">
      <c r="A38" s="63" t="s">
        <v>401</v>
      </c>
    </row>
    <row r="39" spans="1:1" s="63" customFormat="1" x14ac:dyDescent="0.25">
      <c r="A39" s="63" t="s">
        <v>402</v>
      </c>
    </row>
    <row r="40" spans="1:1" s="63" customFormat="1" x14ac:dyDescent="0.25">
      <c r="A40" s="63" t="s">
        <v>403</v>
      </c>
    </row>
    <row r="41" spans="1:1" s="63" customFormat="1" x14ac:dyDescent="0.25">
      <c r="A41" s="63" t="s">
        <v>404</v>
      </c>
    </row>
    <row r="42" spans="1:1" s="63" customFormat="1" x14ac:dyDescent="0.25"/>
    <row r="43" spans="1:1" x14ac:dyDescent="0.25">
      <c r="A43" s="63" t="s">
        <v>398</v>
      </c>
    </row>
    <row r="44" spans="1:1" x14ac:dyDescent="0.25">
      <c r="A44" s="63"/>
    </row>
    <row r="45" spans="1:1" x14ac:dyDescent="0.25">
      <c r="A45" s="63"/>
    </row>
  </sheetData>
  <mergeCells count="6">
    <mergeCell ref="B14:Y14"/>
    <mergeCell ref="B9:Y9"/>
    <mergeCell ref="B10:Y10"/>
    <mergeCell ref="B11:Y11"/>
    <mergeCell ref="B12:Y12"/>
    <mergeCell ref="B13:Y13"/>
  </mergeCells>
  <pageMargins left="0.7" right="0.7" top="0.75" bottom="0.75" header="0.3" footer="0.3"/>
  <pageSetup paperSize="9" orientation="portrait" r:id="rId1"/>
  <customProperties>
    <customPr name="_pios_id" r:id="rId2"/>
  </customPropertie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I41"/>
  <sheetViews>
    <sheetView workbookViewId="0">
      <selection activeCell="L33" sqref="L33"/>
    </sheetView>
  </sheetViews>
  <sheetFormatPr defaultRowHeight="15" x14ac:dyDescent="0.25"/>
  <cols>
    <col min="5" max="5" width="12.85546875" customWidth="1"/>
    <col min="6" max="6" width="12.5703125" bestFit="1" customWidth="1"/>
    <col min="7" max="7" width="12.7109375" bestFit="1" customWidth="1"/>
    <col min="8" max="8" width="12" bestFit="1" customWidth="1"/>
    <col min="9" max="9" width="12.140625" bestFit="1" customWidth="1"/>
  </cols>
  <sheetData>
    <row r="2" spans="2:9" x14ac:dyDescent="0.25">
      <c r="E2" t="s">
        <v>681</v>
      </c>
    </row>
    <row r="3" spans="2:9" x14ac:dyDescent="0.25">
      <c r="B3" t="s">
        <v>149</v>
      </c>
      <c r="F3" t="s">
        <v>682</v>
      </c>
      <c r="G3" t="s">
        <v>683</v>
      </c>
      <c r="H3" t="s">
        <v>684</v>
      </c>
      <c r="I3" t="s">
        <v>685</v>
      </c>
    </row>
    <row r="5" spans="2:9" x14ac:dyDescent="0.25">
      <c r="B5" t="s">
        <v>577</v>
      </c>
    </row>
    <row r="6" spans="2:9" x14ac:dyDescent="0.25">
      <c r="B6" t="s">
        <v>686</v>
      </c>
      <c r="E6">
        <v>94080</v>
      </c>
      <c r="F6">
        <f>E6</f>
        <v>94080</v>
      </c>
      <c r="G6">
        <v>27750</v>
      </c>
    </row>
    <row r="7" spans="2:9" x14ac:dyDescent="0.25">
      <c r="B7" t="s">
        <v>749</v>
      </c>
      <c r="G7">
        <v>5271.6</v>
      </c>
    </row>
    <row r="9" spans="2:9" x14ac:dyDescent="0.25">
      <c r="B9" t="s">
        <v>687</v>
      </c>
      <c r="F9">
        <f>SUM(F10:F33)</f>
        <v>106452.90895600001</v>
      </c>
      <c r="G9" s="63">
        <f>SUM(G10:G37)</f>
        <v>34140.490000000005</v>
      </c>
    </row>
    <row r="10" spans="2:9" x14ac:dyDescent="0.25">
      <c r="B10" t="s">
        <v>688</v>
      </c>
    </row>
    <row r="11" spans="2:9" x14ac:dyDescent="0.25">
      <c r="B11" t="s">
        <v>689</v>
      </c>
      <c r="E11" s="174">
        <v>4550.9799999999996</v>
      </c>
      <c r="F11" s="174">
        <f>E11*1.06^2</f>
        <v>5113.4811280000004</v>
      </c>
      <c r="G11">
        <v>6184.5</v>
      </c>
    </row>
    <row r="12" spans="2:9" x14ac:dyDescent="0.25">
      <c r="B12" t="s">
        <v>690</v>
      </c>
      <c r="E12" s="174">
        <v>7612.35</v>
      </c>
      <c r="F12" s="174">
        <f>E12*1.06^2</f>
        <v>8553.2364600000019</v>
      </c>
      <c r="G12">
        <v>9030.51</v>
      </c>
    </row>
    <row r="13" spans="2:9" x14ac:dyDescent="0.25">
      <c r="B13" t="s">
        <v>691</v>
      </c>
      <c r="E13" s="174">
        <v>4500</v>
      </c>
      <c r="F13" s="174">
        <f t="shared" ref="F13:F32" si="0">E13*1.06^2</f>
        <v>5056.2000000000007</v>
      </c>
    </row>
    <row r="14" spans="2:9" x14ac:dyDescent="0.25">
      <c r="B14" t="s">
        <v>692</v>
      </c>
      <c r="E14" s="174">
        <v>15510</v>
      </c>
      <c r="F14" s="174"/>
    </row>
    <row r="15" spans="2:9" x14ac:dyDescent="0.25">
      <c r="E15" s="174"/>
      <c r="F15" s="174"/>
    </row>
    <row r="16" spans="2:9" x14ac:dyDescent="0.25">
      <c r="E16" s="174"/>
      <c r="F16" s="174"/>
    </row>
    <row r="17" spans="2:7" x14ac:dyDescent="0.25">
      <c r="B17" t="s">
        <v>693</v>
      </c>
      <c r="E17" s="174"/>
      <c r="F17" s="174"/>
    </row>
    <row r="18" spans="2:7" x14ac:dyDescent="0.25">
      <c r="B18" t="s">
        <v>694</v>
      </c>
      <c r="E18" s="174">
        <v>12738.36</v>
      </c>
      <c r="F18" s="174">
        <f t="shared" si="0"/>
        <v>14312.821296000002</v>
      </c>
    </row>
    <row r="19" spans="2:7" x14ac:dyDescent="0.25">
      <c r="B19" t="s">
        <v>695</v>
      </c>
      <c r="E19" s="174">
        <v>4338.5</v>
      </c>
      <c r="F19" s="174"/>
    </row>
    <row r="20" spans="2:7" x14ac:dyDescent="0.25">
      <c r="B20" t="s">
        <v>696</v>
      </c>
      <c r="E20" s="174"/>
      <c r="F20" s="174"/>
    </row>
    <row r="21" spans="2:7" x14ac:dyDescent="0.25">
      <c r="B21" t="s">
        <v>697</v>
      </c>
      <c r="E21" s="174">
        <v>25935</v>
      </c>
      <c r="F21" s="174">
        <f t="shared" si="0"/>
        <v>29140.566000000003</v>
      </c>
      <c r="G21">
        <v>10000</v>
      </c>
    </row>
    <row r="22" spans="2:7" x14ac:dyDescent="0.25">
      <c r="B22" t="s">
        <v>698</v>
      </c>
      <c r="E22" s="174"/>
      <c r="F22" s="174"/>
    </row>
    <row r="23" spans="2:7" x14ac:dyDescent="0.25">
      <c r="B23" t="s">
        <v>699</v>
      </c>
      <c r="E23" s="174">
        <v>4634.1000000000004</v>
      </c>
      <c r="F23" s="174">
        <f t="shared" si="0"/>
        <v>5206.8747600000015</v>
      </c>
    </row>
    <row r="24" spans="2:7" x14ac:dyDescent="0.25">
      <c r="B24" t="s">
        <v>700</v>
      </c>
      <c r="E24" s="174">
        <v>2052</v>
      </c>
      <c r="F24" s="174">
        <f t="shared" si="0"/>
        <v>2305.6272000000004</v>
      </c>
    </row>
    <row r="25" spans="2:7" x14ac:dyDescent="0.25">
      <c r="B25" t="s">
        <v>701</v>
      </c>
      <c r="E25" s="174">
        <v>7500</v>
      </c>
      <c r="F25" s="174">
        <f t="shared" si="0"/>
        <v>8427.0000000000018</v>
      </c>
    </row>
    <row r="26" spans="2:7" x14ac:dyDescent="0.25">
      <c r="B26" t="s">
        <v>702</v>
      </c>
      <c r="E26" s="174">
        <v>4693.38</v>
      </c>
      <c r="F26" s="174">
        <f t="shared" si="0"/>
        <v>5273.4817680000006</v>
      </c>
      <c r="G26">
        <v>1326.12</v>
      </c>
    </row>
    <row r="27" spans="2:7" x14ac:dyDescent="0.25">
      <c r="B27" t="s">
        <v>703</v>
      </c>
      <c r="E27" s="174">
        <v>2000</v>
      </c>
      <c r="F27" s="174">
        <f t="shared" si="0"/>
        <v>2247.2000000000003</v>
      </c>
      <c r="G27">
        <v>986.69</v>
      </c>
    </row>
    <row r="28" spans="2:7" x14ac:dyDescent="0.25">
      <c r="B28" t="s">
        <v>704</v>
      </c>
      <c r="E28" s="174">
        <v>2500</v>
      </c>
      <c r="F28" s="174">
        <f t="shared" si="0"/>
        <v>2809.0000000000005</v>
      </c>
    </row>
    <row r="29" spans="2:7" x14ac:dyDescent="0.25">
      <c r="B29" t="s">
        <v>705</v>
      </c>
      <c r="E29" s="174">
        <v>4560</v>
      </c>
      <c r="F29" s="174">
        <f t="shared" si="0"/>
        <v>5123.6160000000009</v>
      </c>
    </row>
    <row r="30" spans="2:7" x14ac:dyDescent="0.25">
      <c r="B30" t="s">
        <v>706</v>
      </c>
      <c r="E30" s="174">
        <v>9473</v>
      </c>
      <c r="F30" s="174">
        <f t="shared" si="0"/>
        <v>10643.862800000001</v>
      </c>
    </row>
    <row r="31" spans="2:7" x14ac:dyDescent="0.25">
      <c r="B31" t="s">
        <v>707</v>
      </c>
      <c r="E31" s="174">
        <v>100</v>
      </c>
      <c r="F31" s="174">
        <f t="shared" si="0"/>
        <v>112.36000000000001</v>
      </c>
    </row>
    <row r="32" spans="2:7" x14ac:dyDescent="0.25">
      <c r="B32" t="s">
        <v>708</v>
      </c>
      <c r="E32" s="174">
        <v>1893.54</v>
      </c>
      <c r="F32" s="174">
        <f t="shared" si="0"/>
        <v>2127.5815440000001</v>
      </c>
    </row>
    <row r="33" spans="2:9" x14ac:dyDescent="0.25">
      <c r="B33" t="s">
        <v>709</v>
      </c>
      <c r="E33" s="174">
        <v>39900</v>
      </c>
      <c r="F33" s="175"/>
    </row>
    <row r="34" spans="2:9" x14ac:dyDescent="0.25">
      <c r="B34" t="s">
        <v>748</v>
      </c>
      <c r="F34" s="16"/>
      <c r="G34">
        <v>2415</v>
      </c>
    </row>
    <row r="35" spans="2:9" s="63" customFormat="1" x14ac:dyDescent="0.25">
      <c r="B35" s="63" t="s">
        <v>729</v>
      </c>
      <c r="F35" s="16"/>
      <c r="G35" s="63">
        <v>1758.84</v>
      </c>
    </row>
    <row r="36" spans="2:9" s="63" customFormat="1" x14ac:dyDescent="0.25">
      <c r="B36" s="63" t="s">
        <v>743</v>
      </c>
      <c r="F36" s="16"/>
      <c r="G36" s="63">
        <v>1500</v>
      </c>
    </row>
    <row r="37" spans="2:9" s="63" customFormat="1" x14ac:dyDescent="0.25">
      <c r="B37" s="63" t="s">
        <v>744</v>
      </c>
      <c r="F37" s="16"/>
      <c r="G37" s="63">
        <v>938.83</v>
      </c>
    </row>
    <row r="39" spans="2:9" x14ac:dyDescent="0.25">
      <c r="B39" t="s">
        <v>710</v>
      </c>
      <c r="F39" s="174">
        <f>F6-F9</f>
        <v>-12372.908956000014</v>
      </c>
      <c r="G39">
        <f>G6-G9+G7</f>
        <v>-1118.8900000000049</v>
      </c>
    </row>
    <row r="40" spans="2:9" x14ac:dyDescent="0.25">
      <c r="B40" t="s">
        <v>711</v>
      </c>
      <c r="F40">
        <v>-50000</v>
      </c>
      <c r="G40">
        <v>-30000</v>
      </c>
      <c r="H40">
        <v>-80000</v>
      </c>
    </row>
    <row r="41" spans="2:9" x14ac:dyDescent="0.25">
      <c r="B41" t="s">
        <v>712</v>
      </c>
      <c r="F41">
        <f>F40/4</f>
        <v>-12500</v>
      </c>
      <c r="G41">
        <f>G40/4</f>
        <v>-7500</v>
      </c>
      <c r="H41" s="63">
        <f>H40/4</f>
        <v>-20000</v>
      </c>
      <c r="I41" t="s">
        <v>750</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35"/>
  <sheetViews>
    <sheetView workbookViewId="0">
      <selection activeCell="B9" sqref="B9:B11"/>
    </sheetView>
  </sheetViews>
  <sheetFormatPr defaultRowHeight="15" x14ac:dyDescent="0.25"/>
  <cols>
    <col min="1" max="1" width="112.42578125" bestFit="1" customWidth="1"/>
    <col min="2" max="2" width="18.140625" bestFit="1" customWidth="1"/>
    <col min="5" max="5" width="39.7109375" bestFit="1" customWidth="1"/>
    <col min="6" max="6" width="16.42578125" bestFit="1" customWidth="1"/>
  </cols>
  <sheetData>
    <row r="2" spans="1:9" ht="27.75" x14ac:dyDescent="0.4">
      <c r="A2" s="206" t="s">
        <v>713</v>
      </c>
      <c r="B2" s="178"/>
      <c r="C2" s="179"/>
      <c r="D2" s="176"/>
      <c r="E2" s="176"/>
      <c r="F2" s="176"/>
      <c r="G2" s="176"/>
      <c r="H2" s="176"/>
      <c r="I2" s="176"/>
    </row>
    <row r="3" spans="1:9" ht="18" x14ac:dyDescent="0.25">
      <c r="A3" s="177"/>
      <c r="B3" s="176"/>
      <c r="C3" s="176"/>
      <c r="D3" s="176"/>
      <c r="E3" s="176"/>
      <c r="F3" s="176"/>
      <c r="G3" s="193"/>
      <c r="H3" s="193"/>
      <c r="I3" s="193"/>
    </row>
    <row r="4" spans="1:9" ht="18" x14ac:dyDescent="0.25">
      <c r="A4" s="180" t="s">
        <v>714</v>
      </c>
      <c r="B4" s="181">
        <v>33021.599999999999</v>
      </c>
      <c r="C4" s="182"/>
      <c r="D4" s="176"/>
      <c r="E4" s="198" t="s">
        <v>715</v>
      </c>
      <c r="F4" s="183"/>
      <c r="G4" s="193"/>
      <c r="H4" s="176"/>
      <c r="I4" s="176"/>
    </row>
    <row r="5" spans="1:9" ht="18" x14ac:dyDescent="0.25">
      <c r="A5" s="192" t="s">
        <v>716</v>
      </c>
      <c r="B5" s="197">
        <v>4150</v>
      </c>
      <c r="C5" s="176"/>
      <c r="D5" s="176"/>
      <c r="E5" s="192" t="s">
        <v>717</v>
      </c>
      <c r="F5" s="199">
        <v>539</v>
      </c>
      <c r="G5" s="201"/>
      <c r="H5" s="176"/>
      <c r="I5" s="176"/>
    </row>
    <row r="6" spans="1:9" ht="18" x14ac:dyDescent="0.25">
      <c r="A6" s="192" t="s">
        <v>718</v>
      </c>
      <c r="B6" s="197">
        <v>22950</v>
      </c>
      <c r="C6" s="214" t="s">
        <v>719</v>
      </c>
      <c r="D6" s="215">
        <v>27750</v>
      </c>
      <c r="E6" s="192" t="s">
        <v>720</v>
      </c>
      <c r="F6" s="199">
        <v>49.98</v>
      </c>
      <c r="G6" s="201"/>
      <c r="H6" s="176"/>
      <c r="I6" s="176"/>
    </row>
    <row r="7" spans="1:9" ht="18" x14ac:dyDescent="0.25">
      <c r="A7" s="192" t="s">
        <v>721</v>
      </c>
      <c r="B7" s="197">
        <v>1750</v>
      </c>
      <c r="C7" s="176"/>
      <c r="D7" s="176"/>
      <c r="E7" s="192" t="s">
        <v>722</v>
      </c>
      <c r="F7" s="199">
        <v>99.99</v>
      </c>
      <c r="G7" s="201"/>
      <c r="H7" s="176"/>
      <c r="I7" s="176"/>
    </row>
    <row r="8" spans="1:9" ht="18" x14ac:dyDescent="0.25">
      <c r="A8" s="192" t="s">
        <v>723</v>
      </c>
      <c r="B8" s="197">
        <v>-1100</v>
      </c>
      <c r="C8" s="176"/>
      <c r="D8" s="176"/>
      <c r="E8" s="192"/>
      <c r="F8" s="199"/>
      <c r="G8" s="201"/>
      <c r="H8" s="193"/>
      <c r="I8" s="193"/>
    </row>
    <row r="9" spans="1:9" ht="18" x14ac:dyDescent="0.25">
      <c r="A9" s="192" t="s">
        <v>724</v>
      </c>
      <c r="B9" s="197">
        <v>2265</v>
      </c>
      <c r="C9" s="176"/>
      <c r="D9" s="176"/>
      <c r="E9" s="192" t="s">
        <v>725</v>
      </c>
      <c r="F9" s="192">
        <v>69.989999999999995</v>
      </c>
      <c r="G9" s="207"/>
      <c r="H9" s="193"/>
      <c r="I9" s="193"/>
    </row>
    <row r="10" spans="1:9" ht="18" x14ac:dyDescent="0.25">
      <c r="A10" s="192" t="s">
        <v>726</v>
      </c>
      <c r="B10" s="204">
        <v>2415</v>
      </c>
      <c r="C10" s="184"/>
      <c r="D10" s="176"/>
      <c r="E10" s="192" t="s">
        <v>727</v>
      </c>
      <c r="F10" s="199">
        <v>227.73</v>
      </c>
      <c r="G10" s="201"/>
      <c r="H10" s="193"/>
      <c r="I10" s="193"/>
    </row>
    <row r="11" spans="1:9" ht="18" x14ac:dyDescent="0.25">
      <c r="A11" s="192" t="s">
        <v>728</v>
      </c>
      <c r="B11" s="204">
        <v>591.6</v>
      </c>
      <c r="C11" s="216"/>
      <c r="D11" s="176"/>
      <c r="E11" s="208"/>
      <c r="F11" s="200">
        <v>986.69</v>
      </c>
      <c r="G11" s="201"/>
      <c r="H11" s="193"/>
      <c r="I11" s="193"/>
    </row>
    <row r="12" spans="1:9" ht="18" x14ac:dyDescent="0.25">
      <c r="A12" s="201"/>
      <c r="B12" s="202"/>
      <c r="C12" s="182"/>
      <c r="D12" s="176"/>
      <c r="E12" s="209" t="s">
        <v>729</v>
      </c>
      <c r="F12" s="199"/>
      <c r="G12" s="201"/>
      <c r="H12" s="193"/>
      <c r="I12" s="193"/>
    </row>
    <row r="13" spans="1:9" ht="18" x14ac:dyDescent="0.25">
      <c r="A13" s="185"/>
      <c r="B13" s="185"/>
      <c r="C13" s="182"/>
      <c r="D13" s="185"/>
      <c r="E13" s="192" t="s">
        <v>730</v>
      </c>
      <c r="F13" s="199">
        <v>413</v>
      </c>
      <c r="G13" s="201"/>
      <c r="H13" s="194"/>
      <c r="I13" s="194"/>
    </row>
    <row r="14" spans="1:9" ht="18" x14ac:dyDescent="0.25">
      <c r="A14" s="180" t="s">
        <v>731</v>
      </c>
      <c r="B14" s="191">
        <v>34140.490000000005</v>
      </c>
      <c r="C14" s="186"/>
      <c r="D14" s="176"/>
      <c r="E14" s="192" t="s">
        <v>732</v>
      </c>
      <c r="F14" s="199">
        <v>140.94</v>
      </c>
      <c r="G14" s="201"/>
      <c r="H14" s="193"/>
      <c r="I14" s="195"/>
    </row>
    <row r="15" spans="1:9" ht="18" x14ac:dyDescent="0.25">
      <c r="A15" s="196" t="s">
        <v>689</v>
      </c>
      <c r="B15" s="197">
        <v>6184.5</v>
      </c>
      <c r="C15" s="186" t="s">
        <v>733</v>
      </c>
      <c r="D15" s="176"/>
      <c r="E15" s="192" t="s">
        <v>734</v>
      </c>
      <c r="F15" s="199">
        <v>1204.9000000000001</v>
      </c>
      <c r="G15" s="201"/>
      <c r="H15" s="193"/>
      <c r="I15" s="193"/>
    </row>
    <row r="16" spans="1:9" ht="18" x14ac:dyDescent="0.25">
      <c r="A16" s="196" t="s">
        <v>735</v>
      </c>
      <c r="B16" s="197">
        <v>9030.51</v>
      </c>
      <c r="C16" s="187" t="s">
        <v>733</v>
      </c>
      <c r="D16" s="176"/>
      <c r="E16" s="192"/>
      <c r="F16" s="210">
        <v>1758.8400000000001</v>
      </c>
      <c r="G16" s="213"/>
      <c r="H16" s="193"/>
      <c r="I16" s="193"/>
    </row>
    <row r="17" spans="1:10" ht="18" x14ac:dyDescent="0.25">
      <c r="A17" s="196" t="s">
        <v>736</v>
      </c>
      <c r="B17" s="205">
        <v>10000</v>
      </c>
      <c r="C17" s="186" t="s">
        <v>733</v>
      </c>
      <c r="D17" s="176"/>
      <c r="E17" s="209" t="s">
        <v>737</v>
      </c>
      <c r="F17" s="211"/>
      <c r="G17" s="212"/>
      <c r="H17" s="176"/>
      <c r="I17" s="176"/>
      <c r="J17" s="176"/>
    </row>
    <row r="18" spans="1:10" ht="18" x14ac:dyDescent="0.25">
      <c r="A18" s="196" t="s">
        <v>738</v>
      </c>
      <c r="B18" s="197">
        <v>1326.12</v>
      </c>
      <c r="C18" s="186"/>
      <c r="D18" s="176"/>
      <c r="E18" s="192" t="s">
        <v>739</v>
      </c>
      <c r="F18" s="199">
        <v>350</v>
      </c>
      <c r="G18" s="212"/>
      <c r="H18" s="176"/>
      <c r="I18" s="176"/>
      <c r="J18" s="176"/>
    </row>
    <row r="19" spans="1:10" ht="18" x14ac:dyDescent="0.25">
      <c r="A19" s="196" t="s">
        <v>740</v>
      </c>
      <c r="B19" s="197">
        <v>986.69</v>
      </c>
      <c r="C19" s="186"/>
      <c r="D19" s="176"/>
      <c r="E19" s="192" t="s">
        <v>741</v>
      </c>
      <c r="F19" s="199">
        <v>340</v>
      </c>
      <c r="G19" s="212"/>
      <c r="H19" s="176"/>
      <c r="I19" s="176"/>
      <c r="J19" s="176"/>
    </row>
    <row r="20" spans="1:10" ht="18" x14ac:dyDescent="0.25">
      <c r="A20" s="196" t="s">
        <v>742</v>
      </c>
      <c r="B20" s="197">
        <v>2415</v>
      </c>
      <c r="C20" s="186"/>
      <c r="D20" s="185"/>
      <c r="E20" s="192" t="s">
        <v>697</v>
      </c>
      <c r="F20" s="199">
        <v>636.12</v>
      </c>
      <c r="G20" s="212"/>
      <c r="H20" s="176"/>
      <c r="I20" s="176"/>
      <c r="J20" s="176"/>
    </row>
    <row r="21" spans="1:10" ht="18" x14ac:dyDescent="0.25">
      <c r="A21" s="196" t="s">
        <v>729</v>
      </c>
      <c r="B21" s="197">
        <v>1758.84</v>
      </c>
      <c r="C21" s="186"/>
      <c r="D21" s="185"/>
      <c r="E21" s="192"/>
      <c r="F21" s="210">
        <v>1326.12</v>
      </c>
      <c r="G21" s="201"/>
      <c r="H21" s="176"/>
      <c r="I21" s="176"/>
      <c r="J21" s="176"/>
    </row>
    <row r="22" spans="1:10" ht="18" x14ac:dyDescent="0.25">
      <c r="A22" s="196" t="s">
        <v>743</v>
      </c>
      <c r="B22" s="197">
        <v>1500</v>
      </c>
      <c r="C22" s="188"/>
      <c r="D22" s="176"/>
      <c r="E22" s="201"/>
      <c r="F22" s="207"/>
      <c r="G22" s="201"/>
      <c r="H22" s="176"/>
      <c r="I22" s="176"/>
      <c r="J22" s="176"/>
    </row>
    <row r="23" spans="1:10" ht="18" x14ac:dyDescent="0.25">
      <c r="A23" s="196" t="s">
        <v>744</v>
      </c>
      <c r="B23" s="197">
        <v>938.83</v>
      </c>
      <c r="C23" s="188"/>
      <c r="D23" s="176"/>
      <c r="E23" s="209" t="s">
        <v>692</v>
      </c>
      <c r="F23" s="192"/>
      <c r="G23" s="212"/>
      <c r="H23" s="176"/>
      <c r="I23" s="176"/>
      <c r="J23" s="176"/>
    </row>
    <row r="24" spans="1:10" ht="18" x14ac:dyDescent="0.25">
      <c r="A24" s="196"/>
      <c r="B24" s="197"/>
      <c r="C24" s="188"/>
      <c r="D24" s="176"/>
      <c r="E24" s="192" t="s">
        <v>745</v>
      </c>
      <c r="F24" s="192">
        <v>400</v>
      </c>
      <c r="G24" s="212"/>
      <c r="H24" s="176"/>
      <c r="I24" s="176"/>
      <c r="J24" s="176"/>
    </row>
    <row r="25" spans="1:10" ht="18" x14ac:dyDescent="0.25">
      <c r="A25" s="180" t="s">
        <v>746</v>
      </c>
      <c r="B25" s="191">
        <v>-1118.8900000000067</v>
      </c>
      <c r="C25" s="176"/>
      <c r="D25" s="176"/>
      <c r="E25" s="192" t="s">
        <v>747</v>
      </c>
      <c r="F25" s="192">
        <v>700</v>
      </c>
      <c r="G25" s="212"/>
      <c r="H25" s="176"/>
      <c r="I25" s="176"/>
      <c r="J25" s="176"/>
    </row>
    <row r="26" spans="1:10" ht="18" x14ac:dyDescent="0.25">
      <c r="A26" s="176"/>
      <c r="B26" s="189"/>
      <c r="C26" s="176"/>
      <c r="D26" s="176"/>
      <c r="E26" s="192"/>
      <c r="F26" s="192">
        <v>1100</v>
      </c>
      <c r="G26" s="212"/>
      <c r="H26" s="176"/>
      <c r="I26" s="176"/>
      <c r="J26" s="176"/>
    </row>
    <row r="27" spans="1:10" ht="18" x14ac:dyDescent="0.25">
      <c r="A27" s="176"/>
      <c r="B27" s="190"/>
      <c r="C27" s="176"/>
      <c r="D27" s="176"/>
      <c r="E27" s="201"/>
      <c r="F27" s="207"/>
      <c r="G27" s="201"/>
      <c r="H27" s="176"/>
      <c r="I27" s="176"/>
      <c r="J27" s="176"/>
    </row>
    <row r="28" spans="1:10" ht="18" x14ac:dyDescent="0.25">
      <c r="A28" s="176"/>
      <c r="B28" s="176"/>
      <c r="C28" s="176"/>
      <c r="D28" s="176"/>
      <c r="E28" s="193"/>
      <c r="F28" s="195"/>
      <c r="G28" s="193"/>
      <c r="H28" s="203"/>
      <c r="I28" s="203"/>
      <c r="J28" s="203"/>
    </row>
    <row r="30" spans="1:10" ht="18" x14ac:dyDescent="0.25">
      <c r="A30" s="176"/>
      <c r="B30" s="176"/>
      <c r="C30" s="176"/>
      <c r="D30" s="176"/>
      <c r="E30" s="176"/>
      <c r="F30" s="203"/>
      <c r="G30" s="176"/>
      <c r="H30" s="176"/>
      <c r="I30" s="176"/>
      <c r="J30" s="176"/>
    </row>
    <row r="31" spans="1:10" ht="18" x14ac:dyDescent="0.25">
      <c r="A31" s="176"/>
      <c r="B31" s="176"/>
      <c r="C31" s="176"/>
      <c r="D31" s="176"/>
      <c r="E31" s="176"/>
      <c r="F31" s="203"/>
      <c r="G31" s="176"/>
      <c r="H31" s="176"/>
      <c r="I31" s="176"/>
      <c r="J31" s="176"/>
    </row>
    <row r="32" spans="1:10" ht="18" x14ac:dyDescent="0.25">
      <c r="A32" s="176"/>
      <c r="B32" s="176"/>
      <c r="C32" s="176"/>
      <c r="D32" s="176"/>
      <c r="E32" s="176"/>
      <c r="F32" s="203"/>
      <c r="G32" s="176"/>
      <c r="H32" s="176"/>
      <c r="I32" s="176"/>
      <c r="J32" s="176"/>
    </row>
    <row r="33" spans="6:6" ht="18" x14ac:dyDescent="0.25">
      <c r="F33" s="203"/>
    </row>
    <row r="34" spans="6:6" ht="18" x14ac:dyDescent="0.25">
      <c r="F34" s="203"/>
    </row>
    <row r="35" spans="6:6" ht="18" x14ac:dyDescent="0.25">
      <c r="F35" s="20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8"/>
  <sheetViews>
    <sheetView view="pageLayout" zoomScaleNormal="100" workbookViewId="0">
      <selection activeCell="E25" sqref="E25"/>
    </sheetView>
  </sheetViews>
  <sheetFormatPr defaultRowHeight="12.75" x14ac:dyDescent="0.2"/>
  <cols>
    <col min="1" max="1" width="9.140625" style="176"/>
    <col min="2" max="2" width="11" style="176" customWidth="1"/>
    <col min="3" max="4" width="9.140625" style="176"/>
    <col min="5" max="6" width="12" style="176" customWidth="1"/>
    <col min="7" max="7" width="14" style="176" customWidth="1"/>
    <col min="8" max="16384" width="9.140625" style="176"/>
  </cols>
  <sheetData>
    <row r="1" spans="1:8" x14ac:dyDescent="0.2">
      <c r="A1" s="217" t="s">
        <v>751</v>
      </c>
    </row>
    <row r="2" spans="1:8" x14ac:dyDescent="0.2">
      <c r="A2" s="218" t="s">
        <v>752</v>
      </c>
    </row>
    <row r="4" spans="1:8" x14ac:dyDescent="0.2">
      <c r="A4" s="217" t="s">
        <v>753</v>
      </c>
      <c r="B4" s="219" t="s">
        <v>754</v>
      </c>
    </row>
    <row r="5" spans="1:8" x14ac:dyDescent="0.2">
      <c r="B5" s="220" t="s">
        <v>755</v>
      </c>
      <c r="C5" s="220"/>
      <c r="D5" s="220"/>
      <c r="E5" s="220"/>
      <c r="F5" s="220"/>
      <c r="G5" s="220"/>
      <c r="H5" s="220"/>
    </row>
    <row r="6" spans="1:8" x14ac:dyDescent="0.2">
      <c r="B6" s="220"/>
      <c r="C6" s="220"/>
      <c r="D6" s="220"/>
      <c r="E6" s="220"/>
      <c r="F6" s="220"/>
      <c r="G6" s="220"/>
      <c r="H6" s="220"/>
    </row>
    <row r="8" spans="1:8" x14ac:dyDescent="0.2">
      <c r="A8" s="217" t="s">
        <v>756</v>
      </c>
      <c r="B8" s="221">
        <v>42507</v>
      </c>
    </row>
    <row r="10" spans="1:8" x14ac:dyDescent="0.2">
      <c r="A10" s="218" t="s">
        <v>757</v>
      </c>
    </row>
    <row r="11" spans="1:8" ht="66.75" customHeight="1" x14ac:dyDescent="0.2">
      <c r="A11" s="220" t="s">
        <v>758</v>
      </c>
      <c r="B11" s="220"/>
      <c r="C11" s="220"/>
      <c r="D11" s="220"/>
      <c r="E11" s="220"/>
      <c r="F11" s="220"/>
      <c r="G11" s="220"/>
      <c r="H11" s="220"/>
    </row>
    <row r="13" spans="1:8" x14ac:dyDescent="0.2">
      <c r="A13" s="218" t="s">
        <v>759</v>
      </c>
    </row>
    <row r="14" spans="1:8" ht="36.75" customHeight="1" x14ac:dyDescent="0.2">
      <c r="E14" s="222" t="s">
        <v>760</v>
      </c>
      <c r="F14" s="222" t="s">
        <v>761</v>
      </c>
      <c r="G14" s="223" t="s">
        <v>762</v>
      </c>
      <c r="H14" s="223" t="s">
        <v>427</v>
      </c>
    </row>
    <row r="15" spans="1:8" x14ac:dyDescent="0.2">
      <c r="A15" s="224" t="s">
        <v>714</v>
      </c>
      <c r="B15" s="225"/>
      <c r="C15" s="225"/>
      <c r="D15" s="225"/>
      <c r="E15" s="226">
        <f>SUM(E16:E18)</f>
        <v>94080</v>
      </c>
      <c r="F15" s="226">
        <f>SUM(F16:F18)</f>
        <v>92000</v>
      </c>
      <c r="G15" s="226">
        <f>E15-F15</f>
        <v>2080</v>
      </c>
      <c r="H15" s="225"/>
    </row>
    <row r="16" spans="1:8" x14ac:dyDescent="0.2">
      <c r="A16" s="176" t="s">
        <v>763</v>
      </c>
      <c r="E16" s="227">
        <v>85780</v>
      </c>
      <c r="F16" s="227">
        <v>90000</v>
      </c>
      <c r="G16" s="227"/>
      <c r="H16" s="176">
        <v>1</v>
      </c>
    </row>
    <row r="17" spans="1:8" ht="25.5" customHeight="1" x14ac:dyDescent="0.2">
      <c r="A17" s="228" t="s">
        <v>764</v>
      </c>
      <c r="B17" s="228"/>
      <c r="C17" s="228"/>
      <c r="E17" s="227">
        <v>6800</v>
      </c>
      <c r="F17" s="227"/>
      <c r="G17" s="227"/>
      <c r="H17" s="229" t="s">
        <v>765</v>
      </c>
    </row>
    <row r="18" spans="1:8" x14ac:dyDescent="0.2">
      <c r="A18" s="176" t="s">
        <v>766</v>
      </c>
      <c r="E18" s="227">
        <v>1500</v>
      </c>
      <c r="F18" s="227">
        <v>2000</v>
      </c>
      <c r="G18" s="227"/>
      <c r="H18" s="176">
        <v>1</v>
      </c>
    </row>
    <row r="20" spans="1:8" x14ac:dyDescent="0.2">
      <c r="A20" s="224" t="s">
        <v>731</v>
      </c>
      <c r="B20" s="225"/>
      <c r="C20" s="225"/>
      <c r="D20" s="225"/>
      <c r="E20" s="226">
        <f>SUM(E21:E47)</f>
        <v>154491.21000000002</v>
      </c>
      <c r="F20" s="226">
        <f>SUM(F21:F47)</f>
        <v>156860</v>
      </c>
      <c r="G20" s="226">
        <f>SUM(G22:G47)</f>
        <v>2368.7899999999972</v>
      </c>
      <c r="H20" s="225"/>
    </row>
    <row r="21" spans="1:8" x14ac:dyDescent="0.2">
      <c r="A21" s="176" t="s">
        <v>688</v>
      </c>
      <c r="E21" s="227"/>
      <c r="F21" s="227"/>
      <c r="G21" s="227"/>
    </row>
    <row r="22" spans="1:8" x14ac:dyDescent="0.2">
      <c r="A22" s="176" t="s">
        <v>689</v>
      </c>
      <c r="E22" s="227">
        <v>4550.9799999999996</v>
      </c>
      <c r="F22" s="227">
        <v>6000</v>
      </c>
      <c r="G22" s="227">
        <f>F22-E22</f>
        <v>1449.0200000000004</v>
      </c>
    </row>
    <row r="23" spans="1:8" x14ac:dyDescent="0.2">
      <c r="A23" s="176" t="s">
        <v>690</v>
      </c>
      <c r="E23" s="227">
        <v>7612.35</v>
      </c>
      <c r="F23" s="227">
        <v>10000</v>
      </c>
      <c r="G23" s="227">
        <f t="shared" ref="G23:G27" si="0">F23-E23</f>
        <v>2387.6499999999996</v>
      </c>
    </row>
    <row r="24" spans="1:8" x14ac:dyDescent="0.2">
      <c r="A24" s="176" t="s">
        <v>691</v>
      </c>
      <c r="E24" s="227">
        <v>4500</v>
      </c>
      <c r="F24" s="227"/>
      <c r="G24" s="227">
        <f t="shared" si="0"/>
        <v>-4500</v>
      </c>
      <c r="H24" s="176">
        <v>3</v>
      </c>
    </row>
    <row r="25" spans="1:8" x14ac:dyDescent="0.2">
      <c r="A25" s="176" t="s">
        <v>692</v>
      </c>
      <c r="E25" s="227">
        <v>15510</v>
      </c>
      <c r="F25" s="227"/>
      <c r="G25" s="227">
        <f t="shared" si="0"/>
        <v>-15510</v>
      </c>
      <c r="H25" s="176">
        <v>4</v>
      </c>
    </row>
    <row r="26" spans="1:8" x14ac:dyDescent="0.2">
      <c r="E26" s="227"/>
      <c r="F26" s="227"/>
      <c r="G26" s="227"/>
    </row>
    <row r="27" spans="1:8" x14ac:dyDescent="0.2">
      <c r="A27" s="176" t="s">
        <v>767</v>
      </c>
      <c r="E27" s="227"/>
      <c r="F27" s="227">
        <v>10600</v>
      </c>
      <c r="G27" s="227">
        <f t="shared" si="0"/>
        <v>10600</v>
      </c>
      <c r="H27" s="176">
        <v>10</v>
      </c>
    </row>
    <row r="28" spans="1:8" x14ac:dyDescent="0.2">
      <c r="E28" s="227"/>
      <c r="F28" s="227"/>
      <c r="G28" s="227"/>
    </row>
    <row r="29" spans="1:8" x14ac:dyDescent="0.2">
      <c r="E29" s="227"/>
      <c r="F29" s="227"/>
      <c r="G29" s="227"/>
    </row>
    <row r="30" spans="1:8" x14ac:dyDescent="0.2">
      <c r="A30" s="176" t="s">
        <v>693</v>
      </c>
      <c r="E30" s="227"/>
      <c r="F30" s="227"/>
      <c r="G30" s="227"/>
    </row>
    <row r="31" spans="1:8" x14ac:dyDescent="0.2">
      <c r="A31" s="176" t="s">
        <v>694</v>
      </c>
      <c r="D31" s="176">
        <v>111740</v>
      </c>
      <c r="E31" s="227">
        <f>(D31*0.1)+(D31*0.1*0.14)</f>
        <v>12738.36</v>
      </c>
      <c r="F31" s="227">
        <v>10260</v>
      </c>
      <c r="G31" s="227">
        <f t="shared" ref="G31:G47" si="1">F31-E31</f>
        <v>-2478.3600000000006</v>
      </c>
      <c r="H31" s="176">
        <v>5</v>
      </c>
    </row>
    <row r="32" spans="1:8" x14ac:dyDescent="0.2">
      <c r="A32" s="176" t="s">
        <v>695</v>
      </c>
      <c r="E32" s="227">
        <v>4338.5</v>
      </c>
      <c r="F32" s="227">
        <v>0</v>
      </c>
      <c r="G32" s="227">
        <f t="shared" si="1"/>
        <v>-4338.5</v>
      </c>
      <c r="H32" s="176">
        <v>6</v>
      </c>
    </row>
    <row r="33" spans="1:8" x14ac:dyDescent="0.2">
      <c r="A33" s="176" t="s">
        <v>696</v>
      </c>
      <c r="E33" s="227"/>
      <c r="F33" s="227">
        <v>0</v>
      </c>
      <c r="G33" s="227">
        <f t="shared" si="1"/>
        <v>0</v>
      </c>
    </row>
    <row r="34" spans="1:8" x14ac:dyDescent="0.2">
      <c r="A34" s="176" t="s">
        <v>697</v>
      </c>
      <c r="E34" s="227">
        <v>25935</v>
      </c>
      <c r="F34" s="227">
        <v>20000</v>
      </c>
      <c r="G34" s="227">
        <f t="shared" si="1"/>
        <v>-5935</v>
      </c>
      <c r="H34" s="176">
        <v>7</v>
      </c>
    </row>
    <row r="35" spans="1:8" x14ac:dyDescent="0.2">
      <c r="A35" s="176" t="s">
        <v>698</v>
      </c>
      <c r="E35" s="227"/>
      <c r="F35" s="227"/>
      <c r="G35" s="227">
        <f t="shared" si="1"/>
        <v>0</v>
      </c>
    </row>
    <row r="36" spans="1:8" x14ac:dyDescent="0.2">
      <c r="A36" s="176" t="s">
        <v>699</v>
      </c>
      <c r="E36" s="227">
        <v>4634.1000000000004</v>
      </c>
      <c r="F36" s="227">
        <v>2500</v>
      </c>
      <c r="G36" s="227">
        <f t="shared" si="1"/>
        <v>-2134.1000000000004</v>
      </c>
      <c r="H36" s="176">
        <v>8</v>
      </c>
    </row>
    <row r="37" spans="1:8" x14ac:dyDescent="0.2">
      <c r="A37" s="176" t="s">
        <v>700</v>
      </c>
      <c r="E37" s="227">
        <v>2052</v>
      </c>
      <c r="F37" s="227">
        <v>0</v>
      </c>
      <c r="G37" s="227">
        <f t="shared" si="1"/>
        <v>-2052</v>
      </c>
      <c r="H37" s="176">
        <v>8</v>
      </c>
    </row>
    <row r="38" spans="1:8" x14ac:dyDescent="0.2">
      <c r="A38" s="176" t="s">
        <v>701</v>
      </c>
      <c r="D38" s="176">
        <v>10</v>
      </c>
      <c r="E38" s="227">
        <v>7500</v>
      </c>
      <c r="F38" s="227">
        <v>11000</v>
      </c>
      <c r="G38" s="227">
        <f t="shared" si="1"/>
        <v>3500</v>
      </c>
    </row>
    <row r="39" spans="1:8" x14ac:dyDescent="0.2">
      <c r="A39" s="176" t="s">
        <v>702</v>
      </c>
      <c r="E39" s="227">
        <v>4693.38</v>
      </c>
      <c r="F39" s="227">
        <v>3000</v>
      </c>
      <c r="G39" s="227">
        <f t="shared" si="1"/>
        <v>-1693.38</v>
      </c>
      <c r="H39" s="176">
        <v>8</v>
      </c>
    </row>
    <row r="40" spans="1:8" x14ac:dyDescent="0.2">
      <c r="A40" s="176" t="s">
        <v>703</v>
      </c>
      <c r="E40" s="227">
        <v>2000</v>
      </c>
      <c r="F40" s="227">
        <v>2000</v>
      </c>
      <c r="G40" s="227">
        <f t="shared" si="1"/>
        <v>0</v>
      </c>
      <c r="H40" s="229" t="s">
        <v>768</v>
      </c>
    </row>
    <row r="41" spans="1:8" x14ac:dyDescent="0.2">
      <c r="A41" s="176" t="s">
        <v>704</v>
      </c>
      <c r="E41" s="227">
        <v>2500</v>
      </c>
      <c r="F41" s="227">
        <v>1500</v>
      </c>
      <c r="G41" s="227">
        <f t="shared" si="1"/>
        <v>-1000</v>
      </c>
      <c r="H41" s="229">
        <v>9</v>
      </c>
    </row>
    <row r="42" spans="1:8" x14ac:dyDescent="0.2">
      <c r="A42" s="176" t="s">
        <v>705</v>
      </c>
      <c r="E42" s="227">
        <v>4560</v>
      </c>
      <c r="F42" s="227">
        <v>0</v>
      </c>
      <c r="G42" s="227">
        <f t="shared" si="1"/>
        <v>-4560</v>
      </c>
    </row>
    <row r="43" spans="1:8" x14ac:dyDescent="0.2">
      <c r="A43" s="176" t="s">
        <v>706</v>
      </c>
      <c r="E43" s="227">
        <v>9473</v>
      </c>
      <c r="F43" s="227">
        <v>10000</v>
      </c>
      <c r="G43" s="227">
        <f t="shared" si="1"/>
        <v>527</v>
      </c>
    </row>
    <row r="44" spans="1:8" x14ac:dyDescent="0.2">
      <c r="A44" s="176" t="s">
        <v>707</v>
      </c>
      <c r="E44" s="227">
        <v>100</v>
      </c>
      <c r="F44" s="227">
        <v>0</v>
      </c>
      <c r="G44" s="227">
        <f t="shared" si="1"/>
        <v>-100</v>
      </c>
    </row>
    <row r="45" spans="1:8" x14ac:dyDescent="0.2">
      <c r="A45" s="176" t="s">
        <v>708</v>
      </c>
      <c r="E45" s="227">
        <v>1893.54</v>
      </c>
      <c r="F45" s="227">
        <v>0</v>
      </c>
      <c r="G45" s="227">
        <f t="shared" si="1"/>
        <v>-1893.54</v>
      </c>
      <c r="H45" s="176">
        <v>8</v>
      </c>
    </row>
    <row r="46" spans="1:8" x14ac:dyDescent="0.2">
      <c r="A46" s="176" t="s">
        <v>709</v>
      </c>
      <c r="E46" s="227">
        <v>39900</v>
      </c>
      <c r="F46" s="227">
        <v>40000</v>
      </c>
      <c r="G46" s="227">
        <f t="shared" si="1"/>
        <v>100</v>
      </c>
      <c r="H46" s="176">
        <v>8</v>
      </c>
    </row>
    <row r="47" spans="1:8" x14ac:dyDescent="0.2">
      <c r="A47" s="176" t="s">
        <v>769</v>
      </c>
      <c r="E47" s="227"/>
      <c r="F47" s="227">
        <v>30000</v>
      </c>
      <c r="G47" s="227">
        <f t="shared" si="1"/>
        <v>30000</v>
      </c>
      <c r="H47" s="176">
        <v>10</v>
      </c>
    </row>
    <row r="49" spans="1:8" x14ac:dyDescent="0.2">
      <c r="A49" s="176" t="s">
        <v>770</v>
      </c>
      <c r="E49" s="227">
        <f>E15-E20</f>
        <v>-60411.210000000021</v>
      </c>
      <c r="F49" s="227">
        <f>F15-F20</f>
        <v>-64860</v>
      </c>
      <c r="G49" s="227">
        <f>G20+G15</f>
        <v>4448.7899999999972</v>
      </c>
    </row>
    <row r="51" spans="1:8" x14ac:dyDescent="0.2">
      <c r="A51" s="230" t="s">
        <v>771</v>
      </c>
      <c r="B51" s="230"/>
      <c r="C51" s="230"/>
      <c r="D51" s="231" t="s">
        <v>772</v>
      </c>
      <c r="E51" s="232">
        <f>E49/5</f>
        <v>-12082.242000000004</v>
      </c>
    </row>
    <row r="53" spans="1:8" x14ac:dyDescent="0.2">
      <c r="A53" s="218" t="s">
        <v>427</v>
      </c>
    </row>
    <row r="55" spans="1:8" ht="93.75" customHeight="1" x14ac:dyDescent="0.2">
      <c r="A55" s="233">
        <v>1</v>
      </c>
      <c r="B55" s="220" t="s">
        <v>773</v>
      </c>
      <c r="C55" s="220"/>
      <c r="D55" s="220"/>
      <c r="E55" s="220"/>
      <c r="F55" s="220"/>
      <c r="G55" s="220"/>
      <c r="H55" s="220"/>
    </row>
    <row r="57" spans="1:8" ht="40.5" customHeight="1" x14ac:dyDescent="0.2">
      <c r="A57" s="233">
        <v>2</v>
      </c>
      <c r="B57" s="220" t="s">
        <v>774</v>
      </c>
      <c r="C57" s="220"/>
      <c r="D57" s="220"/>
      <c r="E57" s="220"/>
      <c r="F57" s="220"/>
      <c r="G57" s="220"/>
      <c r="H57" s="220"/>
    </row>
    <row r="59" spans="1:8" ht="40.5" customHeight="1" x14ac:dyDescent="0.2">
      <c r="A59" s="233">
        <v>3</v>
      </c>
      <c r="B59" s="220" t="s">
        <v>775</v>
      </c>
      <c r="C59" s="228"/>
      <c r="D59" s="228"/>
      <c r="E59" s="228"/>
      <c r="F59" s="228"/>
      <c r="G59" s="228"/>
      <c r="H59" s="228"/>
    </row>
    <row r="60" spans="1:8" x14ac:dyDescent="0.2">
      <c r="A60" s="233"/>
    </row>
    <row r="61" spans="1:8" ht="53.25" customHeight="1" x14ac:dyDescent="0.2">
      <c r="A61" s="233">
        <v>4</v>
      </c>
      <c r="B61" s="220" t="s">
        <v>776</v>
      </c>
      <c r="C61" s="220"/>
      <c r="D61" s="220"/>
      <c r="E61" s="220"/>
      <c r="F61" s="220"/>
      <c r="G61" s="220"/>
      <c r="H61" s="220"/>
    </row>
    <row r="63" spans="1:8" ht="51.75" customHeight="1" x14ac:dyDescent="0.2">
      <c r="A63" s="234">
        <v>5</v>
      </c>
      <c r="B63" s="220" t="s">
        <v>777</v>
      </c>
      <c r="C63" s="220"/>
      <c r="D63" s="220"/>
      <c r="E63" s="220"/>
      <c r="F63" s="220"/>
      <c r="G63" s="220"/>
      <c r="H63" s="220"/>
    </row>
    <row r="64" spans="1:8" ht="51.75" customHeight="1" x14ac:dyDescent="0.2">
      <c r="A64" s="234"/>
      <c r="B64" s="220" t="s">
        <v>778</v>
      </c>
      <c r="C64" s="220"/>
      <c r="D64" s="220"/>
      <c r="E64" s="220"/>
      <c r="F64" s="220"/>
      <c r="G64" s="220"/>
      <c r="H64" s="220"/>
    </row>
    <row r="66" spans="1:8" ht="27.75" customHeight="1" x14ac:dyDescent="0.2">
      <c r="A66" s="233">
        <v>6</v>
      </c>
      <c r="B66" s="220" t="s">
        <v>779</v>
      </c>
      <c r="C66" s="220"/>
      <c r="D66" s="220"/>
      <c r="E66" s="220"/>
      <c r="F66" s="220"/>
      <c r="G66" s="220"/>
      <c r="H66" s="220"/>
    </row>
    <row r="67" spans="1:8" x14ac:dyDescent="0.2">
      <c r="A67" s="233"/>
      <c r="B67" s="227">
        <f>E32/14*100</f>
        <v>30989.285714285717</v>
      </c>
      <c r="C67" s="219" t="s">
        <v>780</v>
      </c>
    </row>
    <row r="68" spans="1:8" x14ac:dyDescent="0.2">
      <c r="A68" s="233"/>
      <c r="B68" s="227"/>
      <c r="C68" s="219" t="s">
        <v>781</v>
      </c>
    </row>
    <row r="69" spans="1:8" x14ac:dyDescent="0.2">
      <c r="A69" s="233"/>
      <c r="B69" s="227">
        <f>E46</f>
        <v>39900</v>
      </c>
      <c r="C69" s="219" t="s">
        <v>782</v>
      </c>
    </row>
    <row r="70" spans="1:8" x14ac:dyDescent="0.2">
      <c r="A70" s="233"/>
      <c r="B70" s="227">
        <f>E45</f>
        <v>1893.54</v>
      </c>
      <c r="C70" s="219" t="s">
        <v>708</v>
      </c>
    </row>
    <row r="71" spans="1:8" x14ac:dyDescent="0.2">
      <c r="A71" s="233"/>
      <c r="B71" s="227">
        <f>E42</f>
        <v>4560</v>
      </c>
      <c r="C71" s="219" t="s">
        <v>783</v>
      </c>
    </row>
    <row r="72" spans="1:8" x14ac:dyDescent="0.2">
      <c r="A72" s="233"/>
      <c r="B72" s="227">
        <f>E41</f>
        <v>2500</v>
      </c>
      <c r="C72" s="219" t="s">
        <v>784</v>
      </c>
    </row>
    <row r="73" spans="1:8" x14ac:dyDescent="0.2">
      <c r="A73" s="233"/>
      <c r="B73" s="227">
        <f>E40</f>
        <v>2000</v>
      </c>
      <c r="C73" s="219" t="s">
        <v>785</v>
      </c>
    </row>
    <row r="74" spans="1:8" x14ac:dyDescent="0.2">
      <c r="A74" s="233"/>
      <c r="B74" s="227">
        <f>E39</f>
        <v>4693.38</v>
      </c>
      <c r="C74" s="219" t="s">
        <v>786</v>
      </c>
    </row>
    <row r="75" spans="1:8" x14ac:dyDescent="0.2">
      <c r="A75" s="233"/>
      <c r="B75" s="227">
        <f>E34</f>
        <v>25935</v>
      </c>
      <c r="C75" s="219" t="s">
        <v>787</v>
      </c>
    </row>
    <row r="76" spans="1:8" ht="38.25" customHeight="1" x14ac:dyDescent="0.2">
      <c r="A76" s="233"/>
      <c r="B76" s="220" t="s">
        <v>788</v>
      </c>
      <c r="C76" s="220"/>
      <c r="D76" s="220"/>
      <c r="E76" s="220"/>
      <c r="F76" s="220"/>
      <c r="G76" s="220"/>
      <c r="H76" s="220"/>
    </row>
    <row r="77" spans="1:8" x14ac:dyDescent="0.2">
      <c r="A77" s="233"/>
    </row>
    <row r="78" spans="1:8" ht="93.75" customHeight="1" x14ac:dyDescent="0.2">
      <c r="A78" s="233">
        <v>7</v>
      </c>
      <c r="B78" s="220" t="s">
        <v>789</v>
      </c>
      <c r="C78" s="220"/>
      <c r="D78" s="220"/>
      <c r="E78" s="220"/>
      <c r="F78" s="220"/>
      <c r="G78" s="220"/>
      <c r="H78" s="220"/>
    </row>
    <row r="79" spans="1:8" ht="24.75" customHeight="1" x14ac:dyDescent="0.2">
      <c r="A79" s="233"/>
      <c r="B79" s="235"/>
      <c r="C79" s="235"/>
      <c r="D79" s="235"/>
      <c r="E79" s="235"/>
      <c r="F79" s="235"/>
      <c r="G79" s="235"/>
      <c r="H79" s="235"/>
    </row>
    <row r="81" spans="1:8" ht="109.5" customHeight="1" x14ac:dyDescent="0.2">
      <c r="A81" s="233">
        <v>8</v>
      </c>
      <c r="B81" s="220" t="s">
        <v>790</v>
      </c>
      <c r="C81" s="220"/>
      <c r="D81" s="220"/>
      <c r="E81" s="220"/>
      <c r="F81" s="220"/>
      <c r="G81" s="220"/>
      <c r="H81" s="220"/>
    </row>
    <row r="83" spans="1:8" ht="76.5" customHeight="1" x14ac:dyDescent="0.2">
      <c r="A83" s="233">
        <v>9</v>
      </c>
      <c r="B83" s="220" t="s">
        <v>791</v>
      </c>
      <c r="C83" s="220"/>
      <c r="D83" s="220"/>
      <c r="E83" s="220"/>
      <c r="F83" s="220"/>
      <c r="G83" s="220"/>
      <c r="H83" s="220"/>
    </row>
    <row r="85" spans="1:8" ht="81.75" customHeight="1" x14ac:dyDescent="0.2">
      <c r="A85" s="233">
        <v>10</v>
      </c>
      <c r="B85" s="220" t="s">
        <v>792</v>
      </c>
      <c r="C85" s="220"/>
      <c r="D85" s="220"/>
      <c r="E85" s="220"/>
      <c r="F85" s="220"/>
      <c r="G85" s="220"/>
      <c r="H85" s="220"/>
    </row>
    <row r="87" spans="1:8" x14ac:dyDescent="0.2">
      <c r="A87" s="218" t="s">
        <v>793</v>
      </c>
    </row>
    <row r="89" spans="1:8" ht="27.75" customHeight="1" x14ac:dyDescent="0.2">
      <c r="A89" s="220" t="s">
        <v>794</v>
      </c>
      <c r="B89" s="220"/>
      <c r="C89" s="220"/>
      <c r="D89" s="220"/>
      <c r="E89" s="220"/>
      <c r="F89" s="220"/>
      <c r="G89" s="220"/>
      <c r="H89" s="220"/>
    </row>
    <row r="90" spans="1:8" x14ac:dyDescent="0.2">
      <c r="A90" s="220"/>
      <c r="B90" s="220"/>
      <c r="C90" s="220"/>
      <c r="D90" s="220"/>
      <c r="E90" s="220"/>
      <c r="F90" s="220"/>
      <c r="G90" s="220"/>
      <c r="H90" s="220"/>
    </row>
    <row r="91" spans="1:8" x14ac:dyDescent="0.2">
      <c r="A91" s="218" t="s">
        <v>795</v>
      </c>
    </row>
    <row r="100" spans="1:8" x14ac:dyDescent="0.2">
      <c r="A100" s="219" t="s">
        <v>796</v>
      </c>
    </row>
    <row r="102" spans="1:8" x14ac:dyDescent="0.2">
      <c r="A102" s="219" t="s">
        <v>797</v>
      </c>
      <c r="C102" s="236" t="s">
        <v>798</v>
      </c>
      <c r="D102" s="237"/>
      <c r="E102" s="237"/>
    </row>
    <row r="103" spans="1:8" x14ac:dyDescent="0.2">
      <c r="A103" s="219"/>
      <c r="C103" s="236" t="s">
        <v>145</v>
      </c>
      <c r="D103" s="237"/>
      <c r="E103" s="237"/>
      <c r="F103" s="236" t="s">
        <v>799</v>
      </c>
      <c r="G103" s="237"/>
      <c r="H103" s="237"/>
    </row>
    <row r="105" spans="1:8" x14ac:dyDescent="0.2">
      <c r="A105" s="219" t="s">
        <v>800</v>
      </c>
      <c r="C105" s="236" t="s">
        <v>798</v>
      </c>
      <c r="D105" s="237"/>
      <c r="E105" s="237"/>
    </row>
    <row r="106" spans="1:8" x14ac:dyDescent="0.2">
      <c r="A106" s="219"/>
      <c r="C106" s="236" t="s">
        <v>145</v>
      </c>
      <c r="D106" s="237"/>
      <c r="E106" s="237"/>
      <c r="F106" s="236" t="s">
        <v>799</v>
      </c>
      <c r="G106" s="237"/>
      <c r="H106" s="237"/>
    </row>
    <row r="108" spans="1:8" x14ac:dyDescent="0.2">
      <c r="A108" s="219" t="s">
        <v>801</v>
      </c>
      <c r="C108" s="236" t="s">
        <v>798</v>
      </c>
      <c r="D108" s="237"/>
      <c r="E108" s="237"/>
    </row>
    <row r="109" spans="1:8" x14ac:dyDescent="0.2">
      <c r="A109" s="219"/>
      <c r="C109" s="236" t="s">
        <v>145</v>
      </c>
      <c r="D109" s="237"/>
      <c r="E109" s="237"/>
      <c r="F109" s="236" t="s">
        <v>799</v>
      </c>
      <c r="G109" s="237"/>
      <c r="H109" s="237"/>
    </row>
    <row r="111" spans="1:8" x14ac:dyDescent="0.2">
      <c r="A111" s="220" t="s">
        <v>802</v>
      </c>
      <c r="B111" s="220"/>
      <c r="C111" s="236" t="s">
        <v>798</v>
      </c>
      <c r="D111" s="237"/>
      <c r="E111" s="237"/>
    </row>
    <row r="112" spans="1:8" x14ac:dyDescent="0.2">
      <c r="A112" s="220"/>
      <c r="B112" s="220"/>
      <c r="C112" s="236" t="s">
        <v>145</v>
      </c>
      <c r="D112" s="237"/>
      <c r="E112" s="237"/>
      <c r="F112" s="236" t="s">
        <v>799</v>
      </c>
      <c r="G112" s="237"/>
      <c r="H112" s="237"/>
    </row>
    <row r="114" spans="1:8" x14ac:dyDescent="0.2">
      <c r="A114" s="219" t="s">
        <v>803</v>
      </c>
      <c r="C114" s="236" t="s">
        <v>798</v>
      </c>
      <c r="D114" s="237"/>
      <c r="E114" s="237"/>
    </row>
    <row r="115" spans="1:8" x14ac:dyDescent="0.2">
      <c r="A115" s="219"/>
      <c r="C115" s="236" t="s">
        <v>145</v>
      </c>
      <c r="D115" s="237"/>
      <c r="E115" s="237"/>
      <c r="F115" s="236" t="s">
        <v>799</v>
      </c>
      <c r="G115" s="237"/>
      <c r="H115" s="237"/>
    </row>
    <row r="117" spans="1:8" x14ac:dyDescent="0.2">
      <c r="A117" s="220" t="s">
        <v>804</v>
      </c>
      <c r="B117" s="220"/>
      <c r="C117" s="236" t="s">
        <v>798</v>
      </c>
      <c r="D117" s="237"/>
      <c r="E117" s="237"/>
    </row>
    <row r="118" spans="1:8" x14ac:dyDescent="0.2">
      <c r="A118" s="220"/>
      <c r="B118" s="220"/>
      <c r="C118" s="236" t="s">
        <v>145</v>
      </c>
      <c r="D118" s="237"/>
      <c r="E118" s="237"/>
      <c r="F118" s="236" t="s">
        <v>799</v>
      </c>
      <c r="G118" s="237"/>
      <c r="H118" s="237"/>
    </row>
  </sheetData>
  <mergeCells count="20">
    <mergeCell ref="A111:B112"/>
    <mergeCell ref="A117:B118"/>
    <mergeCell ref="B78:H78"/>
    <mergeCell ref="B81:H81"/>
    <mergeCell ref="B83:H83"/>
    <mergeCell ref="B85:H85"/>
    <mergeCell ref="A89:H89"/>
    <mergeCell ref="A90:H90"/>
    <mergeCell ref="B61:H61"/>
    <mergeCell ref="A63:A64"/>
    <mergeCell ref="B63:H63"/>
    <mergeCell ref="B64:H64"/>
    <mergeCell ref="B66:H66"/>
    <mergeCell ref="B76:H76"/>
    <mergeCell ref="B5:H6"/>
    <mergeCell ref="A11:H11"/>
    <mergeCell ref="A17:C17"/>
    <mergeCell ref="B55:H55"/>
    <mergeCell ref="B57:H57"/>
    <mergeCell ref="B59:H59"/>
  </mergeCells>
  <conditionalFormatting sqref="G15:G47">
    <cfRule type="cellIs" dxfId="0" priority="1" operator="lessThan">
      <formula>0</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4:B10"/>
  <sheetViews>
    <sheetView tabSelected="1" view="pageLayout" zoomScaleNormal="100" workbookViewId="0">
      <selection activeCell="F17" sqref="F17"/>
    </sheetView>
  </sheetViews>
  <sheetFormatPr defaultRowHeight="15" x14ac:dyDescent="0.25"/>
  <cols>
    <col min="1" max="1" width="9.5703125" customWidth="1"/>
    <col min="2" max="2" width="14.140625" bestFit="1" customWidth="1"/>
  </cols>
  <sheetData>
    <row r="4" spans="1:2" x14ac:dyDescent="0.25">
      <c r="A4" s="7" t="s">
        <v>481</v>
      </c>
    </row>
    <row r="6" spans="1:2" x14ac:dyDescent="0.25">
      <c r="A6" t="s">
        <v>0</v>
      </c>
    </row>
    <row r="8" spans="1:2" x14ac:dyDescent="0.25">
      <c r="A8" t="s">
        <v>589</v>
      </c>
    </row>
    <row r="10" spans="1:2" x14ac:dyDescent="0.25">
      <c r="A10" t="s">
        <v>465</v>
      </c>
      <c r="B10" s="70" t="s">
        <v>590</v>
      </c>
    </row>
  </sheetData>
  <pageMargins left="0.39370078740157483" right="0.39370078740157483" top="0.74803149606299213" bottom="0.74803149606299213" header="0.31496062992125984" footer="0.31496062992125984"/>
  <pageSetup paperSize="9" orientation="portrait" r:id="rId1"/>
  <customProperties>
    <customPr name="_pios_id" r:id="rId2"/>
  </customProperties>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1:P65"/>
  <sheetViews>
    <sheetView view="pageLayout" topLeftCell="A200" zoomScaleNormal="100" workbookViewId="0">
      <selection activeCell="F17" sqref="F17"/>
    </sheetView>
  </sheetViews>
  <sheetFormatPr defaultRowHeight="15" x14ac:dyDescent="0.25"/>
  <cols>
    <col min="1" max="1" width="32.140625" style="2" customWidth="1"/>
    <col min="2" max="2" width="1.5703125" style="2" customWidth="1"/>
    <col min="3" max="3" width="18.28515625" style="2" customWidth="1"/>
    <col min="4" max="4" width="3.140625" style="2" customWidth="1"/>
    <col min="5" max="5" width="5" style="2" customWidth="1"/>
    <col min="6" max="6" width="13" style="2" customWidth="1"/>
    <col min="7" max="7" width="22" style="2" customWidth="1"/>
    <col min="8" max="16384" width="9.140625" style="2"/>
  </cols>
  <sheetData>
    <row r="1" spans="1:16" x14ac:dyDescent="0.25">
      <c r="A1" s="3"/>
      <c r="B1" s="3"/>
      <c r="C1" s="3"/>
      <c r="D1" s="3"/>
      <c r="E1" s="3"/>
      <c r="F1" s="3"/>
      <c r="G1" s="3"/>
      <c r="H1" s="6"/>
      <c r="I1" s="6"/>
      <c r="J1" s="6"/>
      <c r="K1" s="6"/>
      <c r="L1" s="6"/>
      <c r="M1" s="6"/>
      <c r="N1" s="6"/>
      <c r="O1" s="6"/>
      <c r="P1" s="6"/>
    </row>
    <row r="3" spans="1:16" x14ac:dyDescent="0.25">
      <c r="A3" s="5" t="s">
        <v>455</v>
      </c>
      <c r="C3" s="27" t="s">
        <v>1</v>
      </c>
      <c r="D3" s="27"/>
      <c r="E3" s="27"/>
      <c r="F3" s="27"/>
      <c r="G3" s="27"/>
    </row>
    <row r="4" spans="1:16" x14ac:dyDescent="0.25">
      <c r="A4" s="5"/>
      <c r="C4" s="27"/>
      <c r="D4" s="27"/>
      <c r="E4" s="27"/>
      <c r="F4" s="27"/>
      <c r="G4" s="27"/>
    </row>
    <row r="5" spans="1:16" x14ac:dyDescent="0.25">
      <c r="A5" s="5" t="s">
        <v>4</v>
      </c>
      <c r="C5" s="118">
        <v>42521</v>
      </c>
      <c r="D5" s="27"/>
      <c r="E5" s="27"/>
      <c r="F5" s="27"/>
      <c r="G5" s="27"/>
    </row>
    <row r="6" spans="1:16" x14ac:dyDescent="0.25">
      <c r="A6" s="5"/>
      <c r="C6" s="27"/>
      <c r="D6" s="27"/>
      <c r="E6" s="27"/>
      <c r="F6" s="27"/>
      <c r="G6" s="27"/>
    </row>
    <row r="7" spans="1:16" ht="27" customHeight="1" x14ac:dyDescent="0.25">
      <c r="A7" s="5" t="s">
        <v>6</v>
      </c>
      <c r="C7" s="160" t="s">
        <v>546</v>
      </c>
      <c r="D7" s="160"/>
      <c r="E7" s="160"/>
      <c r="F7" s="160"/>
      <c r="G7" s="160"/>
    </row>
    <row r="8" spans="1:16" x14ac:dyDescent="0.25">
      <c r="A8" s="5"/>
      <c r="C8" s="161" t="s">
        <v>491</v>
      </c>
      <c r="D8" s="161"/>
      <c r="E8" s="161"/>
      <c r="F8" s="161"/>
      <c r="G8" s="161"/>
    </row>
    <row r="9" spans="1:16" ht="25.5" customHeight="1" x14ac:dyDescent="0.25">
      <c r="A9" s="5"/>
      <c r="C9" s="160" t="s">
        <v>492</v>
      </c>
      <c r="D9" s="160"/>
      <c r="E9" s="160"/>
      <c r="F9" s="160"/>
      <c r="G9" s="160"/>
    </row>
    <row r="10" spans="1:16" ht="87.75" customHeight="1" x14ac:dyDescent="0.25">
      <c r="A10" s="5"/>
      <c r="C10" s="160" t="s">
        <v>547</v>
      </c>
      <c r="D10" s="160"/>
      <c r="E10" s="160"/>
      <c r="F10" s="160"/>
      <c r="G10" s="160"/>
    </row>
    <row r="11" spans="1:16" x14ac:dyDescent="0.25">
      <c r="A11" s="5"/>
      <c r="C11" s="27"/>
      <c r="D11" s="27"/>
      <c r="E11" s="27"/>
      <c r="F11" s="27"/>
      <c r="G11" s="27"/>
    </row>
    <row r="12" spans="1:16" ht="25.5" customHeight="1" x14ac:dyDescent="0.25">
      <c r="A12" s="5" t="s">
        <v>7</v>
      </c>
      <c r="C12" s="163" t="s">
        <v>858</v>
      </c>
      <c r="D12" s="163"/>
      <c r="E12" s="163"/>
      <c r="F12" s="163"/>
      <c r="G12" s="163"/>
    </row>
    <row r="13" spans="1:16" x14ac:dyDescent="0.25">
      <c r="A13" s="5"/>
      <c r="C13" s="27"/>
      <c r="D13" s="27"/>
      <c r="E13" s="27"/>
      <c r="F13" s="27"/>
      <c r="G13" s="27"/>
    </row>
    <row r="14" spans="1:16" x14ac:dyDescent="0.25">
      <c r="A14" s="5" t="s">
        <v>5</v>
      </c>
      <c r="C14" s="27" t="s">
        <v>555</v>
      </c>
      <c r="D14" s="99" t="s">
        <v>656</v>
      </c>
      <c r="E14" s="27"/>
      <c r="F14" s="27"/>
      <c r="G14" s="27"/>
    </row>
    <row r="15" spans="1:16" x14ac:dyDescent="0.25">
      <c r="A15" s="5"/>
      <c r="C15" s="27" t="s">
        <v>556</v>
      </c>
      <c r="D15" s="99" t="s">
        <v>447</v>
      </c>
      <c r="E15" s="99"/>
      <c r="F15" s="27"/>
      <c r="G15" s="27"/>
    </row>
    <row r="16" spans="1:16" x14ac:dyDescent="0.25">
      <c r="A16" s="5"/>
      <c r="C16" s="27" t="s">
        <v>2</v>
      </c>
      <c r="D16" s="99" t="s">
        <v>657</v>
      </c>
      <c r="E16" s="27"/>
      <c r="F16" s="27"/>
      <c r="G16" s="27"/>
    </row>
    <row r="17" spans="1:7" x14ac:dyDescent="0.25">
      <c r="A17" s="5"/>
      <c r="C17" s="27" t="s">
        <v>3</v>
      </c>
      <c r="D17" s="99" t="s">
        <v>473</v>
      </c>
      <c r="E17" s="27"/>
      <c r="F17" s="27"/>
      <c r="G17" s="27"/>
    </row>
    <row r="18" spans="1:7" x14ac:dyDescent="0.25">
      <c r="A18" s="5"/>
      <c r="C18" s="27"/>
      <c r="D18" s="99"/>
      <c r="E18" s="27"/>
      <c r="F18" s="27"/>
      <c r="G18" s="27"/>
    </row>
    <row r="19" spans="1:7" x14ac:dyDescent="0.25">
      <c r="A19" s="5" t="s">
        <v>474</v>
      </c>
      <c r="C19" s="27"/>
      <c r="D19" s="27"/>
      <c r="E19" s="27"/>
      <c r="F19" s="27"/>
      <c r="G19" s="27"/>
    </row>
    <row r="20" spans="1:7" x14ac:dyDescent="0.25">
      <c r="A20" s="5"/>
      <c r="C20" s="27" t="s">
        <v>9</v>
      </c>
      <c r="D20" s="99" t="s">
        <v>12</v>
      </c>
      <c r="E20" s="27"/>
      <c r="F20" s="27"/>
      <c r="G20" s="27"/>
    </row>
    <row r="21" spans="1:7" x14ac:dyDescent="0.25">
      <c r="A21" s="5"/>
      <c r="C21" s="27" t="s">
        <v>10</v>
      </c>
      <c r="D21" s="99" t="s">
        <v>447</v>
      </c>
      <c r="E21" s="27"/>
      <c r="F21" s="27"/>
      <c r="G21" s="27"/>
    </row>
    <row r="22" spans="1:7" x14ac:dyDescent="0.25">
      <c r="A22" s="5"/>
      <c r="C22" s="27" t="s">
        <v>8</v>
      </c>
      <c r="D22" s="99" t="s">
        <v>447</v>
      </c>
      <c r="E22" s="27"/>
      <c r="F22" s="27"/>
      <c r="G22" s="27"/>
    </row>
    <row r="23" spans="1:7" x14ac:dyDescent="0.25">
      <c r="A23" s="5"/>
      <c r="C23" s="27" t="s">
        <v>11</v>
      </c>
      <c r="D23" s="99" t="s">
        <v>447</v>
      </c>
      <c r="E23" s="27"/>
      <c r="F23" s="27"/>
      <c r="G23" s="27"/>
    </row>
    <row r="24" spans="1:7" x14ac:dyDescent="0.25">
      <c r="A24" s="5"/>
      <c r="C24" s="27" t="s">
        <v>13</v>
      </c>
      <c r="D24" s="99" t="s">
        <v>447</v>
      </c>
      <c r="E24" s="27"/>
      <c r="F24" s="27"/>
      <c r="G24" s="27"/>
    </row>
    <row r="25" spans="1:7" x14ac:dyDescent="0.25">
      <c r="A25" s="5"/>
      <c r="C25" s="27"/>
      <c r="D25" s="27"/>
      <c r="E25" s="27"/>
      <c r="F25" s="27"/>
      <c r="G25" s="27"/>
    </row>
    <row r="26" spans="1:7" ht="87" customHeight="1" x14ac:dyDescent="0.25">
      <c r="A26" s="5" t="s">
        <v>14</v>
      </c>
      <c r="C26" s="160" t="s">
        <v>493</v>
      </c>
      <c r="D26" s="160"/>
      <c r="E26" s="160"/>
      <c r="F26" s="160"/>
      <c r="G26" s="160"/>
    </row>
    <row r="27" spans="1:7" ht="6" customHeight="1" x14ac:dyDescent="0.25">
      <c r="A27" s="5"/>
      <c r="C27" s="59"/>
      <c r="D27" s="59"/>
      <c r="E27" s="59"/>
      <c r="F27" s="59"/>
      <c r="G27" s="59"/>
    </row>
    <row r="28" spans="1:7" ht="15" customHeight="1" x14ac:dyDescent="0.25">
      <c r="A28" s="5"/>
      <c r="C28" s="109" t="s">
        <v>475</v>
      </c>
      <c r="D28" s="59"/>
      <c r="E28" s="59"/>
      <c r="F28" s="59"/>
      <c r="G28" s="59"/>
    </row>
    <row r="29" spans="1:7" ht="15" customHeight="1" x14ac:dyDescent="0.25">
      <c r="A29" s="5"/>
      <c r="C29" s="109" t="s">
        <v>476</v>
      </c>
      <c r="D29" s="59"/>
      <c r="E29" s="59"/>
      <c r="F29" s="59"/>
      <c r="G29" s="59"/>
    </row>
    <row r="30" spans="1:7" ht="15" customHeight="1" x14ac:dyDescent="0.25">
      <c r="A30" s="5"/>
      <c r="C30" s="109" t="s">
        <v>477</v>
      </c>
      <c r="D30" s="59"/>
      <c r="E30" s="59"/>
      <c r="F30" s="59"/>
      <c r="G30" s="59"/>
    </row>
    <row r="31" spans="1:7" ht="15" customHeight="1" x14ac:dyDescent="0.25">
      <c r="A31" s="5"/>
      <c r="C31" s="109" t="s">
        <v>478</v>
      </c>
      <c r="D31" s="59"/>
      <c r="E31" s="59"/>
      <c r="F31" s="59"/>
      <c r="G31" s="59"/>
    </row>
    <row r="32" spans="1:7" ht="15" customHeight="1" x14ac:dyDescent="0.25">
      <c r="A32" s="5"/>
      <c r="C32" s="109" t="s">
        <v>479</v>
      </c>
      <c r="D32" s="59"/>
      <c r="E32" s="59"/>
      <c r="F32" s="59"/>
      <c r="G32" s="59"/>
    </row>
    <row r="33" spans="1:7" ht="15" customHeight="1" x14ac:dyDescent="0.25">
      <c r="A33" s="5"/>
      <c r="C33" s="65"/>
      <c r="D33" s="59"/>
      <c r="E33" s="59"/>
      <c r="F33" s="59"/>
      <c r="G33" s="59"/>
    </row>
    <row r="34" spans="1:7" ht="62.25" customHeight="1" x14ac:dyDescent="0.25">
      <c r="A34" s="5"/>
      <c r="C34" s="160" t="s">
        <v>658</v>
      </c>
      <c r="D34" s="160"/>
      <c r="E34" s="160"/>
      <c r="F34" s="160"/>
      <c r="G34" s="160"/>
    </row>
    <row r="35" spans="1:7" ht="15" customHeight="1" x14ac:dyDescent="0.25">
      <c r="A35" s="5"/>
      <c r="C35" s="59"/>
      <c r="D35" s="59"/>
      <c r="E35" s="59"/>
      <c r="F35" s="59"/>
      <c r="G35" s="59"/>
    </row>
    <row r="36" spans="1:7" x14ac:dyDescent="0.25">
      <c r="A36" s="22" t="s">
        <v>15</v>
      </c>
      <c r="B36" s="6"/>
      <c r="C36" s="39" t="s">
        <v>480</v>
      </c>
    </row>
    <row r="37" spans="1:7" ht="15" customHeight="1" x14ac:dyDescent="0.25">
      <c r="A37" s="55"/>
      <c r="B37" s="55"/>
      <c r="C37" s="55"/>
      <c r="D37" s="55"/>
      <c r="E37" s="55"/>
      <c r="F37" s="55"/>
      <c r="G37" s="55"/>
    </row>
    <row r="38" spans="1:7" x14ac:dyDescent="0.25">
      <c r="A38" s="5"/>
    </row>
    <row r="39" spans="1:7" x14ac:dyDescent="0.25">
      <c r="A39" s="5" t="s">
        <v>494</v>
      </c>
    </row>
    <row r="40" spans="1:7" ht="169.5" customHeight="1" x14ac:dyDescent="0.25">
      <c r="A40" s="163" t="s">
        <v>548</v>
      </c>
      <c r="B40" s="163"/>
      <c r="C40" s="163"/>
      <c r="D40" s="163"/>
      <c r="E40" s="163"/>
      <c r="F40" s="163"/>
      <c r="G40" s="163"/>
    </row>
    <row r="42" spans="1:7" ht="123" customHeight="1" x14ac:dyDescent="0.25">
      <c r="A42" s="22" t="s">
        <v>551</v>
      </c>
      <c r="C42" s="162" t="s">
        <v>859</v>
      </c>
      <c r="D42" s="162"/>
      <c r="E42" s="162"/>
      <c r="F42" s="162"/>
      <c r="G42" s="162"/>
    </row>
    <row r="44" spans="1:7" ht="51" customHeight="1" x14ac:dyDescent="0.25">
      <c r="A44" s="22" t="s">
        <v>16</v>
      </c>
      <c r="B44" s="6"/>
      <c r="C44" s="162" t="s">
        <v>659</v>
      </c>
      <c r="D44" s="162"/>
      <c r="E44" s="162"/>
      <c r="F44" s="162"/>
      <c r="G44" s="162"/>
    </row>
    <row r="45" spans="1:7" ht="15" customHeight="1" x14ac:dyDescent="0.25">
      <c r="A45" s="22"/>
      <c r="B45" s="6"/>
      <c r="C45" s="39"/>
      <c r="D45" s="39"/>
      <c r="E45" s="39"/>
      <c r="F45" s="39"/>
      <c r="G45" s="39"/>
    </row>
    <row r="46" spans="1:7" ht="29.25" customHeight="1" x14ac:dyDescent="0.25">
      <c r="A46" s="22" t="s">
        <v>17</v>
      </c>
      <c r="B46" s="6"/>
      <c r="C46" s="162" t="s">
        <v>495</v>
      </c>
      <c r="D46" s="162"/>
      <c r="E46" s="162"/>
      <c r="F46" s="162"/>
      <c r="G46" s="162"/>
    </row>
    <row r="47" spans="1:7" x14ac:dyDescent="0.25">
      <c r="A47" s="22"/>
      <c r="B47" s="6"/>
      <c r="C47" s="39"/>
      <c r="D47" s="39"/>
      <c r="E47" s="39"/>
      <c r="F47" s="39"/>
      <c r="G47" s="39"/>
    </row>
    <row r="48" spans="1:7" x14ac:dyDescent="0.25">
      <c r="A48" s="22" t="s">
        <v>18</v>
      </c>
      <c r="B48" s="6"/>
      <c r="C48" s="39" t="s">
        <v>19</v>
      </c>
      <c r="D48" s="39"/>
      <c r="E48" s="39"/>
      <c r="F48" s="39"/>
      <c r="G48" s="39"/>
    </row>
    <row r="49" spans="1:7" x14ac:dyDescent="0.25">
      <c r="A49" s="22"/>
      <c r="B49" s="6"/>
      <c r="C49" s="39" t="s">
        <v>496</v>
      </c>
      <c r="D49" s="39"/>
      <c r="E49" s="39"/>
      <c r="F49" s="39"/>
      <c r="G49" s="39"/>
    </row>
    <row r="50" spans="1:7" x14ac:dyDescent="0.25">
      <c r="A50" s="22"/>
      <c r="B50" s="6"/>
      <c r="C50" s="39"/>
      <c r="D50" s="39"/>
      <c r="E50" s="39"/>
      <c r="F50" s="39"/>
      <c r="G50" s="39"/>
    </row>
    <row r="51" spans="1:7" x14ac:dyDescent="0.25">
      <c r="A51" s="22" t="s">
        <v>20</v>
      </c>
      <c r="B51" s="6"/>
      <c r="C51" s="101" t="str">
        <f>cover!B10</f>
        <v>25 April 2018</v>
      </c>
      <c r="D51" s="39"/>
      <c r="E51" s="39"/>
      <c r="F51" s="39"/>
      <c r="G51" s="39"/>
    </row>
    <row r="52" spans="1:7" x14ac:dyDescent="0.25">
      <c r="A52" s="6"/>
      <c r="B52" s="6"/>
      <c r="C52" s="6"/>
      <c r="D52" s="6"/>
      <c r="E52" s="6"/>
      <c r="F52" s="6"/>
      <c r="G52" s="6"/>
    </row>
    <row r="53" spans="1:7" x14ac:dyDescent="0.25">
      <c r="A53" s="6"/>
      <c r="B53" s="6"/>
      <c r="C53" s="6"/>
      <c r="D53" s="6"/>
      <c r="E53" s="6"/>
      <c r="F53" s="6"/>
      <c r="G53" s="6"/>
    </row>
    <row r="54" spans="1:7" x14ac:dyDescent="0.25">
      <c r="A54" s="6"/>
      <c r="B54" s="6"/>
      <c r="C54" s="6"/>
      <c r="D54" s="6"/>
      <c r="E54" s="6"/>
      <c r="F54" s="6"/>
      <c r="G54" s="6"/>
    </row>
    <row r="55" spans="1:7" x14ac:dyDescent="0.25">
      <c r="A55" s="6"/>
      <c r="B55" s="6"/>
      <c r="C55" s="6"/>
      <c r="D55" s="6"/>
      <c r="E55" s="6"/>
      <c r="F55" s="6"/>
      <c r="G55" s="6"/>
    </row>
    <row r="56" spans="1:7" x14ac:dyDescent="0.25">
      <c r="A56" s="6"/>
      <c r="B56" s="6"/>
      <c r="C56" s="6"/>
      <c r="D56" s="6"/>
      <c r="E56" s="6"/>
      <c r="F56" s="6"/>
      <c r="G56" s="6"/>
    </row>
    <row r="57" spans="1:7" x14ac:dyDescent="0.25">
      <c r="A57" s="6"/>
      <c r="B57" s="6"/>
      <c r="C57" s="6"/>
      <c r="D57" s="6"/>
      <c r="E57" s="6"/>
      <c r="F57" s="6"/>
      <c r="G57" s="6"/>
    </row>
    <row r="58" spans="1:7" x14ac:dyDescent="0.25">
      <c r="A58" s="6"/>
      <c r="B58" s="6"/>
      <c r="C58" s="6"/>
      <c r="D58" s="6"/>
      <c r="E58" s="6"/>
      <c r="F58" s="6"/>
      <c r="G58" s="6"/>
    </row>
    <row r="59" spans="1:7" x14ac:dyDescent="0.25">
      <c r="A59" s="6"/>
      <c r="B59" s="6"/>
      <c r="C59" s="6"/>
      <c r="D59" s="6"/>
      <c r="E59" s="6"/>
      <c r="F59" s="6"/>
      <c r="G59" s="6"/>
    </row>
    <row r="60" spans="1:7" x14ac:dyDescent="0.25">
      <c r="A60" s="6"/>
      <c r="B60" s="6"/>
      <c r="C60" s="6"/>
      <c r="D60" s="6"/>
      <c r="E60" s="6"/>
      <c r="F60" s="6"/>
      <c r="G60" s="6"/>
    </row>
    <row r="61" spans="1:7" x14ac:dyDescent="0.25">
      <c r="A61" s="6"/>
      <c r="B61" s="6"/>
      <c r="C61" s="6"/>
      <c r="D61" s="6"/>
      <c r="E61" s="6"/>
      <c r="F61" s="6"/>
      <c r="G61" s="6"/>
    </row>
    <row r="62" spans="1:7" x14ac:dyDescent="0.25">
      <c r="A62" s="6"/>
      <c r="B62" s="6"/>
      <c r="C62" s="6"/>
      <c r="D62" s="6"/>
      <c r="E62" s="6"/>
      <c r="F62" s="6"/>
      <c r="G62" s="6"/>
    </row>
    <row r="63" spans="1:7" x14ac:dyDescent="0.25">
      <c r="A63" s="6"/>
      <c r="B63" s="6"/>
      <c r="C63" s="6"/>
      <c r="D63" s="6"/>
      <c r="E63" s="6"/>
      <c r="F63" s="6"/>
      <c r="G63" s="6"/>
    </row>
    <row r="64" spans="1:7" x14ac:dyDescent="0.25">
      <c r="A64" s="6"/>
      <c r="B64" s="6"/>
      <c r="C64" s="6"/>
      <c r="D64" s="6"/>
      <c r="E64" s="6"/>
      <c r="F64" s="6"/>
      <c r="G64" s="6"/>
    </row>
    <row r="65" spans="1:7" x14ac:dyDescent="0.25">
      <c r="A65" s="6"/>
      <c r="B65" s="6"/>
      <c r="C65" s="6"/>
      <c r="D65" s="6"/>
      <c r="E65" s="6"/>
      <c r="F65" s="6"/>
      <c r="G65" s="6"/>
    </row>
  </sheetData>
  <sortState ref="C27:C37">
    <sortCondition ref="C27:C37"/>
  </sortState>
  <mergeCells count="11">
    <mergeCell ref="C34:G34"/>
    <mergeCell ref="C10:G10"/>
    <mergeCell ref="C42:G42"/>
    <mergeCell ref="C46:G46"/>
    <mergeCell ref="C44:G44"/>
    <mergeCell ref="A40:G40"/>
    <mergeCell ref="C7:G7"/>
    <mergeCell ref="C9:G9"/>
    <mergeCell ref="C8:G8"/>
    <mergeCell ref="C12:G12"/>
    <mergeCell ref="C26:G26"/>
  </mergeCells>
  <pageMargins left="0.39370078740157483" right="0.39370078740157483" top="0.74803149606299213" bottom="0.74803149606299213" header="0.31496062992125984" footer="0.31496062992125984"/>
  <pageSetup paperSize="9" orientation="portrait" useFirstPageNumber="1" r:id="rId1"/>
  <headerFooter>
    <oddHeader>&amp;L&amp;"-,Bold"GAUTENG CYCLING ASSOCIATION
Annual financial statements for the year ended 31 December 2017
Notes to the annual financial statements</oddHeader>
    <oddFooter>&amp;CPage &amp;P</oddFooter>
  </headerFooter>
  <customProperties>
    <customPr name="_pios_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1:I24"/>
  <sheetViews>
    <sheetView view="pageLayout" topLeftCell="A37" zoomScaleNormal="100" workbookViewId="0">
      <selection activeCell="F17" sqref="F17"/>
    </sheetView>
  </sheetViews>
  <sheetFormatPr defaultRowHeight="15" outlineLevelRow="1" x14ac:dyDescent="0.25"/>
  <cols>
    <col min="6" max="6" width="28.28515625" customWidth="1"/>
    <col min="9" max="9" width="2.7109375" customWidth="1"/>
  </cols>
  <sheetData>
    <row r="1" spans="1:9" x14ac:dyDescent="0.25">
      <c r="A1" s="1"/>
      <c r="B1" s="1"/>
      <c r="C1" s="1"/>
      <c r="D1" s="1"/>
      <c r="E1" s="1"/>
      <c r="F1" s="1"/>
      <c r="G1" s="1"/>
      <c r="H1" s="1"/>
      <c r="I1" s="1"/>
    </row>
    <row r="3" spans="1:9" x14ac:dyDescent="0.25">
      <c r="A3" s="43" t="s">
        <v>21</v>
      </c>
    </row>
    <row r="4" spans="1:9" x14ac:dyDescent="0.25">
      <c r="A4" s="43" t="s">
        <v>549</v>
      </c>
    </row>
    <row r="6" spans="1:9" x14ac:dyDescent="0.25">
      <c r="A6" s="7" t="s">
        <v>22</v>
      </c>
      <c r="H6" s="9" t="s">
        <v>23</v>
      </c>
    </row>
    <row r="8" spans="1:9" hidden="1" outlineLevel="1" x14ac:dyDescent="0.25">
      <c r="A8" s="43" t="s">
        <v>24</v>
      </c>
      <c r="H8" s="8" t="s">
        <v>31</v>
      </c>
    </row>
    <row r="9" spans="1:9" ht="5.85" customHeight="1" collapsed="1" x14ac:dyDescent="0.25"/>
    <row r="10" spans="1:9" x14ac:dyDescent="0.25">
      <c r="A10" s="43" t="s">
        <v>25</v>
      </c>
      <c r="B10" s="43"/>
      <c r="C10" s="43"/>
      <c r="D10" s="43"/>
      <c r="E10" s="43"/>
      <c r="F10" s="43"/>
      <c r="G10" s="43"/>
      <c r="H10" s="44" t="s">
        <v>454</v>
      </c>
    </row>
    <row r="11" spans="1:9" ht="5.85" customHeight="1" x14ac:dyDescent="0.25">
      <c r="A11" s="43"/>
      <c r="B11" s="43"/>
      <c r="C11" s="43"/>
      <c r="D11" s="43"/>
      <c r="E11" s="43"/>
      <c r="F11" s="43"/>
      <c r="G11" s="43"/>
      <c r="H11" s="43"/>
    </row>
    <row r="12" spans="1:9" x14ac:dyDescent="0.25">
      <c r="A12" s="43" t="s">
        <v>26</v>
      </c>
      <c r="B12" s="43"/>
      <c r="C12" s="43"/>
      <c r="D12" s="43"/>
      <c r="E12" s="43"/>
      <c r="F12" s="43"/>
      <c r="G12" s="43"/>
      <c r="H12" s="44" t="s">
        <v>860</v>
      </c>
    </row>
    <row r="13" spans="1:9" ht="5.85" customHeight="1" x14ac:dyDescent="0.25">
      <c r="A13" s="43"/>
      <c r="B13" s="43"/>
      <c r="C13" s="43"/>
      <c r="D13" s="43"/>
      <c r="E13" s="43"/>
      <c r="F13" s="43"/>
      <c r="G13" s="43"/>
      <c r="H13" s="43"/>
    </row>
    <row r="14" spans="1:9" x14ac:dyDescent="0.25">
      <c r="A14" s="43" t="s">
        <v>27</v>
      </c>
      <c r="B14" s="43"/>
      <c r="C14" s="43"/>
      <c r="D14" s="43"/>
      <c r="E14" s="43"/>
      <c r="F14" s="43"/>
      <c r="G14" s="43"/>
      <c r="H14" s="44" t="s">
        <v>166</v>
      </c>
    </row>
    <row r="15" spans="1:9" ht="5.85" customHeight="1" x14ac:dyDescent="0.25">
      <c r="A15" s="43"/>
      <c r="B15" s="43"/>
      <c r="C15" s="43"/>
      <c r="D15" s="43"/>
      <c r="E15" s="43"/>
      <c r="F15" s="43"/>
      <c r="G15" s="43"/>
      <c r="H15" s="43"/>
    </row>
    <row r="16" spans="1:9" x14ac:dyDescent="0.25">
      <c r="A16" s="43" t="s">
        <v>466</v>
      </c>
      <c r="B16" s="43"/>
      <c r="C16" s="43"/>
      <c r="D16" s="43"/>
      <c r="E16" s="43"/>
      <c r="F16" s="43"/>
      <c r="G16" s="43"/>
      <c r="H16" s="44" t="s">
        <v>167</v>
      </c>
    </row>
    <row r="17" spans="1:8" ht="5.85" customHeight="1" x14ac:dyDescent="0.25">
      <c r="A17" s="43"/>
      <c r="B17" s="43"/>
      <c r="C17" s="43"/>
      <c r="D17" s="43"/>
      <c r="E17" s="43"/>
      <c r="F17" s="43"/>
      <c r="G17" s="43"/>
      <c r="H17" s="43"/>
    </row>
    <row r="18" spans="1:8" x14ac:dyDescent="0.25">
      <c r="A18" s="43" t="s">
        <v>429</v>
      </c>
      <c r="B18" s="43"/>
      <c r="C18" s="43"/>
      <c r="D18" s="43"/>
      <c r="E18" s="43"/>
      <c r="F18" s="43"/>
      <c r="G18" s="43"/>
      <c r="H18" s="44" t="s">
        <v>168</v>
      </c>
    </row>
    <row r="19" spans="1:8" ht="5.85" customHeight="1" x14ac:dyDescent="0.25">
      <c r="A19" s="43"/>
      <c r="B19" s="43"/>
      <c r="C19" s="43"/>
      <c r="D19" s="43"/>
      <c r="E19" s="43"/>
      <c r="F19" s="43"/>
      <c r="G19" s="43"/>
      <c r="H19" s="43"/>
    </row>
    <row r="20" spans="1:8" x14ac:dyDescent="0.25">
      <c r="A20" s="43" t="s">
        <v>28</v>
      </c>
      <c r="B20" s="43"/>
      <c r="C20" s="43"/>
      <c r="D20" s="43"/>
      <c r="E20" s="43"/>
      <c r="F20" s="43"/>
      <c r="G20" s="43"/>
      <c r="H20" s="44" t="s">
        <v>861</v>
      </c>
    </row>
    <row r="21" spans="1:8" ht="5.85" customHeight="1" x14ac:dyDescent="0.25">
      <c r="A21" s="43"/>
      <c r="B21" s="43"/>
      <c r="C21" s="43"/>
      <c r="D21" s="43"/>
      <c r="E21" s="43"/>
      <c r="F21" s="43"/>
      <c r="G21" s="43"/>
      <c r="H21" s="43"/>
    </row>
    <row r="22" spans="1:8" x14ac:dyDescent="0.25">
      <c r="A22" s="43" t="s">
        <v>29</v>
      </c>
      <c r="B22" s="43"/>
      <c r="C22" s="43"/>
      <c r="D22" s="43"/>
      <c r="E22" s="43"/>
      <c r="F22" s="43"/>
      <c r="G22" s="43"/>
      <c r="H22" s="44" t="s">
        <v>862</v>
      </c>
    </row>
    <row r="23" spans="1:8" ht="5.85" customHeight="1" x14ac:dyDescent="0.25">
      <c r="A23" s="43"/>
      <c r="B23" s="43"/>
      <c r="C23" s="43"/>
      <c r="D23" s="43"/>
      <c r="E23" s="43"/>
      <c r="F23" s="43"/>
      <c r="G23" s="43"/>
      <c r="H23" s="43"/>
    </row>
    <row r="24" spans="1:8" x14ac:dyDescent="0.25">
      <c r="A24" s="43" t="s">
        <v>30</v>
      </c>
      <c r="B24" s="43"/>
      <c r="C24" s="43"/>
      <c r="D24" s="43"/>
      <c r="E24" s="43"/>
      <c r="F24" s="43"/>
      <c r="G24" s="43"/>
      <c r="H24" s="44" t="s">
        <v>863</v>
      </c>
    </row>
  </sheetData>
  <pageMargins left="0.39370078740157483" right="0.39370078740157483" top="0.74803149606299213" bottom="0.74803149606299213" header="0.31496062992125984" footer="0.31496062992125984"/>
  <pageSetup paperSize="9" firstPageNumber="3" orientation="portrait" useFirstPageNumber="1" r:id="rId1"/>
  <headerFooter>
    <oddHeader>&amp;L&amp;"-,Bold"GAUTENG CYCLING ASSOCIATION
Annual financial statements for the year ended 31 December 2017
Notes to the annual financial statements</oddHeader>
    <oddFooter>&amp;CPage &amp;P</oddFooter>
  </headerFooter>
  <customProperties>
    <customPr name="_pios_id" r:id="rId2"/>
  </customProperties>
  <ignoredErrors>
    <ignoredError sqref="H10:H11 H21 H13 H15 H17 H19 H14 H20 H18 H16"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1:I31"/>
  <sheetViews>
    <sheetView view="pageLayout" topLeftCell="A19" zoomScaleNormal="100" workbookViewId="0">
      <selection activeCell="F17" sqref="F17"/>
    </sheetView>
  </sheetViews>
  <sheetFormatPr defaultRowHeight="15" x14ac:dyDescent="0.25"/>
  <cols>
    <col min="1" max="8" width="9.140625" style="2"/>
    <col min="9" max="9" width="21.7109375" style="2" customWidth="1"/>
    <col min="10" max="16384" width="9.140625" style="2"/>
  </cols>
  <sheetData>
    <row r="1" spans="1:9" x14ac:dyDescent="0.25">
      <c r="A1" s="3"/>
      <c r="B1" s="3"/>
      <c r="C1" s="3"/>
      <c r="D1" s="3"/>
      <c r="E1" s="3"/>
      <c r="F1" s="3"/>
      <c r="G1" s="3"/>
      <c r="H1" s="3"/>
      <c r="I1" s="3"/>
    </row>
    <row r="3" spans="1:9" ht="74.25" customHeight="1" x14ac:dyDescent="0.25">
      <c r="A3" s="160" t="s">
        <v>660</v>
      </c>
      <c r="B3" s="160"/>
      <c r="C3" s="160"/>
      <c r="D3" s="160"/>
      <c r="E3" s="160"/>
      <c r="F3" s="160"/>
      <c r="G3" s="160"/>
      <c r="H3" s="160"/>
      <c r="I3" s="160"/>
    </row>
    <row r="4" spans="1:9" ht="5.85" customHeight="1" x14ac:dyDescent="0.25"/>
    <row r="5" spans="1:9" ht="26.25" customHeight="1" x14ac:dyDescent="0.25">
      <c r="A5" s="160" t="s">
        <v>33</v>
      </c>
      <c r="B5" s="160"/>
      <c r="C5" s="160"/>
      <c r="D5" s="160"/>
      <c r="E5" s="160"/>
      <c r="F5" s="160"/>
      <c r="G5" s="160"/>
      <c r="H5" s="160"/>
      <c r="I5" s="160"/>
    </row>
    <row r="6" spans="1:9" ht="5.85" customHeight="1" x14ac:dyDescent="0.25"/>
    <row r="7" spans="1:9" ht="132.75" customHeight="1" x14ac:dyDescent="0.25">
      <c r="A7" s="160" t="s">
        <v>34</v>
      </c>
      <c r="B7" s="160"/>
      <c r="C7" s="160"/>
      <c r="D7" s="160"/>
      <c r="E7" s="160"/>
      <c r="F7" s="160"/>
      <c r="G7" s="160"/>
      <c r="H7" s="160"/>
      <c r="I7" s="160"/>
    </row>
    <row r="8" spans="1:9" ht="5.85" customHeight="1" x14ac:dyDescent="0.25"/>
    <row r="9" spans="1:9" ht="51" customHeight="1" x14ac:dyDescent="0.25">
      <c r="A9" s="160" t="s">
        <v>456</v>
      </c>
      <c r="B9" s="160"/>
      <c r="C9" s="160"/>
      <c r="D9" s="160"/>
      <c r="E9" s="160"/>
      <c r="F9" s="160"/>
      <c r="G9" s="160"/>
      <c r="H9" s="160"/>
      <c r="I9" s="160"/>
    </row>
    <row r="10" spans="1:9" ht="5.85" customHeight="1" x14ac:dyDescent="0.25"/>
    <row r="11" spans="1:9" ht="26.25" customHeight="1" x14ac:dyDescent="0.25">
      <c r="A11" s="160" t="s">
        <v>35</v>
      </c>
      <c r="B11" s="160"/>
      <c r="C11" s="160"/>
      <c r="D11" s="160"/>
      <c r="E11" s="160"/>
      <c r="F11" s="160"/>
      <c r="G11" s="160"/>
      <c r="H11" s="160"/>
      <c r="I11" s="160"/>
    </row>
    <row r="12" spans="1:9" ht="5.85" customHeight="1" x14ac:dyDescent="0.25"/>
    <row r="13" spans="1:9" ht="24.75" customHeight="1" x14ac:dyDescent="0.25">
      <c r="A13" s="160" t="s">
        <v>467</v>
      </c>
      <c r="B13" s="160"/>
      <c r="C13" s="160"/>
      <c r="D13" s="160"/>
      <c r="E13" s="160"/>
      <c r="F13" s="160"/>
      <c r="G13" s="160"/>
      <c r="H13" s="160"/>
      <c r="I13" s="160"/>
    </row>
    <row r="14" spans="1:9" ht="5.85" customHeight="1" x14ac:dyDescent="0.25"/>
    <row r="15" spans="1:9" ht="27" customHeight="1" x14ac:dyDescent="0.25">
      <c r="A15" s="160" t="s">
        <v>864</v>
      </c>
      <c r="B15" s="160"/>
      <c r="C15" s="160"/>
      <c r="D15" s="160"/>
      <c r="E15" s="160"/>
      <c r="F15" s="160"/>
      <c r="G15" s="160"/>
      <c r="H15" s="160"/>
      <c r="I15" s="160"/>
    </row>
    <row r="30" spans="1:8" x14ac:dyDescent="0.25">
      <c r="A30" s="3"/>
      <c r="B30" s="3"/>
      <c r="C30" s="3"/>
      <c r="F30" s="3"/>
      <c r="G30" s="3"/>
      <c r="H30" s="3"/>
    </row>
    <row r="31" spans="1:8" x14ac:dyDescent="0.25">
      <c r="A31" s="5" t="s">
        <v>661</v>
      </c>
      <c r="B31" s="5"/>
      <c r="C31" s="5"/>
      <c r="D31" s="5"/>
      <c r="E31" s="5"/>
      <c r="F31" s="5" t="s">
        <v>550</v>
      </c>
    </row>
  </sheetData>
  <mergeCells count="7">
    <mergeCell ref="A15:I15"/>
    <mergeCell ref="A3:I3"/>
    <mergeCell ref="A5:I5"/>
    <mergeCell ref="A7:I7"/>
    <mergeCell ref="A9:I9"/>
    <mergeCell ref="A11:I11"/>
    <mergeCell ref="A13:I13"/>
  </mergeCells>
  <pageMargins left="0.39370078740157483" right="0.39370078740157483" top="0.74803149606299213" bottom="0.74803149606299213" header="0.31496062992125984" footer="0.31496062992125984"/>
  <pageSetup paperSize="9" firstPageNumber="4" orientation="portrait" useFirstPageNumber="1" r:id="rId1"/>
  <headerFooter>
    <oddHeader>&amp;L&amp;"-,Bold"GAUTENG CYCLING ASSOCIATION
Annual financial statements for the year ended 31 December 2017
Notes to the annual financial statements</oddHeader>
    <oddFooter>&amp;CPage &amp;P</oddFooter>
  </headerFooter>
  <customProperties>
    <customPr name="_pios_id" r:id="rId2"/>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1:H191"/>
  <sheetViews>
    <sheetView view="pageLayout" topLeftCell="A133" zoomScaleNormal="100" workbookViewId="0">
      <selection activeCell="F17" sqref="F17"/>
    </sheetView>
  </sheetViews>
  <sheetFormatPr defaultRowHeight="15" x14ac:dyDescent="0.25"/>
  <cols>
    <col min="1" max="1" width="3" style="12" customWidth="1"/>
    <col min="2" max="2" width="26.5703125" style="2" customWidth="1"/>
    <col min="3" max="4" width="10.5703125" style="2" customWidth="1"/>
    <col min="5" max="5" width="10.85546875" style="2" bestFit="1" customWidth="1"/>
    <col min="6" max="7" width="9.140625" style="2"/>
    <col min="8" max="8" width="13.42578125" style="2" customWidth="1"/>
    <col min="9" max="16384" width="9.140625" style="2"/>
  </cols>
  <sheetData>
    <row r="1" spans="1:8" x14ac:dyDescent="0.25">
      <c r="A1" s="10"/>
      <c r="B1" s="3"/>
      <c r="C1" s="3"/>
      <c r="D1" s="3"/>
      <c r="E1" s="3"/>
      <c r="F1" s="3"/>
      <c r="G1" s="3"/>
      <c r="H1" s="3"/>
    </row>
    <row r="3" spans="1:8" ht="26.25" customHeight="1" x14ac:dyDescent="0.25">
      <c r="A3" s="11"/>
      <c r="B3" s="160" t="s">
        <v>662</v>
      </c>
      <c r="C3" s="160"/>
      <c r="D3" s="160"/>
      <c r="E3" s="160"/>
      <c r="F3" s="160"/>
      <c r="G3" s="160"/>
      <c r="H3" s="160"/>
    </row>
    <row r="5" spans="1:8" x14ac:dyDescent="0.25">
      <c r="A5" s="13" t="s">
        <v>36</v>
      </c>
      <c r="B5" s="5" t="s">
        <v>37</v>
      </c>
    </row>
    <row r="6" spans="1:8" ht="6" customHeight="1" x14ac:dyDescent="0.25"/>
    <row r="7" spans="1:8" x14ac:dyDescent="0.25">
      <c r="B7" s="5" t="s">
        <v>38</v>
      </c>
    </row>
    <row r="8" spans="1:8" ht="15" customHeight="1" x14ac:dyDescent="0.25">
      <c r="B8" s="160" t="s">
        <v>552</v>
      </c>
      <c r="C8" s="160"/>
      <c r="D8" s="160"/>
      <c r="E8" s="160"/>
      <c r="F8" s="160"/>
      <c r="G8" s="160"/>
      <c r="H8" s="160"/>
    </row>
    <row r="9" spans="1:8" ht="6" customHeight="1" x14ac:dyDescent="0.25"/>
    <row r="10" spans="1:8" ht="25.5" customHeight="1" x14ac:dyDescent="0.25">
      <c r="B10" s="160" t="s">
        <v>553</v>
      </c>
      <c r="C10" s="160"/>
      <c r="D10" s="160"/>
      <c r="E10" s="160"/>
      <c r="F10" s="160"/>
      <c r="G10" s="160"/>
      <c r="H10" s="160"/>
    </row>
    <row r="11" spans="1:8" ht="6" customHeight="1" x14ac:dyDescent="0.25"/>
    <row r="12" spans="1:8" ht="26.25" customHeight="1" x14ac:dyDescent="0.25">
      <c r="B12" s="160" t="s">
        <v>468</v>
      </c>
      <c r="C12" s="160"/>
      <c r="D12" s="160"/>
      <c r="E12" s="160"/>
      <c r="F12" s="160"/>
      <c r="G12" s="160"/>
      <c r="H12" s="160"/>
    </row>
    <row r="13" spans="1:8" ht="6" customHeight="1" x14ac:dyDescent="0.25">
      <c r="B13" s="116"/>
      <c r="C13" s="116"/>
      <c r="D13" s="116"/>
      <c r="E13" s="116"/>
      <c r="F13" s="116"/>
      <c r="G13" s="116"/>
      <c r="H13" s="116"/>
    </row>
    <row r="14" spans="1:8" ht="50.25" customHeight="1" x14ac:dyDescent="0.25">
      <c r="B14" s="160" t="s">
        <v>663</v>
      </c>
      <c r="C14" s="160"/>
      <c r="D14" s="160"/>
      <c r="E14" s="160"/>
      <c r="F14" s="160"/>
      <c r="G14" s="160"/>
      <c r="H14" s="160"/>
    </row>
    <row r="15" spans="1:8" ht="6" customHeight="1" x14ac:dyDescent="0.25"/>
    <row r="16" spans="1:8" ht="48" customHeight="1" x14ac:dyDescent="0.25">
      <c r="B16" s="163" t="s">
        <v>554</v>
      </c>
      <c r="C16" s="163"/>
      <c r="D16" s="163"/>
      <c r="E16" s="163"/>
      <c r="F16" s="163"/>
      <c r="G16" s="163"/>
      <c r="H16" s="163"/>
    </row>
    <row r="17" spans="1:8" ht="6" customHeight="1" x14ac:dyDescent="0.25"/>
    <row r="18" spans="1:8" ht="37.5" customHeight="1" x14ac:dyDescent="0.25">
      <c r="B18" s="163" t="s">
        <v>865</v>
      </c>
      <c r="C18" s="163"/>
      <c r="D18" s="163"/>
      <c r="E18" s="163"/>
      <c r="F18" s="163"/>
      <c r="G18" s="163"/>
      <c r="H18" s="163"/>
    </row>
    <row r="20" spans="1:8" x14ac:dyDescent="0.25">
      <c r="A20" s="13" t="s">
        <v>39</v>
      </c>
      <c r="B20" s="5" t="s">
        <v>40</v>
      </c>
    </row>
    <row r="21" spans="1:8" x14ac:dyDescent="0.25">
      <c r="B21" s="27" t="s">
        <v>41</v>
      </c>
    </row>
    <row r="22" spans="1:8" ht="6" customHeight="1" x14ac:dyDescent="0.25"/>
    <row r="23" spans="1:8" x14ac:dyDescent="0.25">
      <c r="B23" s="27" t="s">
        <v>555</v>
      </c>
      <c r="E23" s="99" t="s">
        <v>664</v>
      </c>
    </row>
    <row r="24" spans="1:8" x14ac:dyDescent="0.25">
      <c r="B24" s="27" t="s">
        <v>556</v>
      </c>
      <c r="E24" s="99" t="s">
        <v>447</v>
      </c>
    </row>
    <row r="25" spans="1:8" x14ac:dyDescent="0.25">
      <c r="B25" s="27" t="s">
        <v>2</v>
      </c>
      <c r="E25" s="27" t="s">
        <v>665</v>
      </c>
    </row>
    <row r="26" spans="1:8" x14ac:dyDescent="0.25">
      <c r="B26" s="27" t="s">
        <v>3</v>
      </c>
      <c r="E26" s="27" t="s">
        <v>473</v>
      </c>
    </row>
    <row r="27" spans="1:8" x14ac:dyDescent="0.25">
      <c r="B27" s="27" t="s">
        <v>42</v>
      </c>
      <c r="E27" s="99" t="s">
        <v>12</v>
      </c>
    </row>
    <row r="28" spans="1:8" x14ac:dyDescent="0.25">
      <c r="B28" s="27" t="s">
        <v>43</v>
      </c>
      <c r="E28" s="99" t="s">
        <v>447</v>
      </c>
    </row>
    <row r="29" spans="1:8" x14ac:dyDescent="0.25">
      <c r="B29" s="27" t="s">
        <v>44</v>
      </c>
      <c r="E29" s="99" t="s">
        <v>447</v>
      </c>
    </row>
    <row r="30" spans="1:8" x14ac:dyDescent="0.25">
      <c r="B30" s="27" t="s">
        <v>45</v>
      </c>
      <c r="E30" s="99" t="s">
        <v>447</v>
      </c>
    </row>
    <row r="31" spans="1:8" ht="6" customHeight="1" x14ac:dyDescent="0.25"/>
    <row r="32" spans="1:8" ht="87" customHeight="1" x14ac:dyDescent="0.25">
      <c r="B32" s="160" t="s">
        <v>866</v>
      </c>
      <c r="C32" s="160"/>
      <c r="D32" s="160"/>
      <c r="E32" s="160"/>
      <c r="F32" s="160"/>
      <c r="G32" s="160"/>
      <c r="H32" s="160"/>
    </row>
    <row r="34" spans="1:8" x14ac:dyDescent="0.25">
      <c r="A34" s="13" t="s">
        <v>46</v>
      </c>
      <c r="B34" s="5" t="s">
        <v>47</v>
      </c>
    </row>
    <row r="35" spans="1:8" ht="26.25" customHeight="1" x14ac:dyDescent="0.25">
      <c r="B35" s="160" t="s">
        <v>48</v>
      </c>
      <c r="C35" s="160"/>
      <c r="D35" s="160"/>
      <c r="E35" s="160"/>
      <c r="F35" s="160"/>
      <c r="G35" s="160"/>
      <c r="H35" s="160"/>
    </row>
    <row r="36" spans="1:8" ht="26.25" customHeight="1" x14ac:dyDescent="0.25">
      <c r="B36" s="116"/>
      <c r="C36" s="116"/>
      <c r="D36" s="116"/>
      <c r="E36" s="116"/>
      <c r="F36" s="116"/>
      <c r="G36" s="116"/>
      <c r="H36" s="116"/>
    </row>
    <row r="37" spans="1:8" ht="26.25" customHeight="1" x14ac:dyDescent="0.25">
      <c r="B37" s="116"/>
      <c r="C37" s="116"/>
      <c r="D37" s="116"/>
      <c r="E37" s="116"/>
      <c r="F37" s="116"/>
      <c r="G37" s="116"/>
      <c r="H37" s="116"/>
    </row>
    <row r="38" spans="1:8" ht="19.5" customHeight="1" x14ac:dyDescent="0.25">
      <c r="B38" s="152"/>
      <c r="C38" s="152"/>
      <c r="D38" s="152"/>
      <c r="E38" s="152"/>
      <c r="F38" s="152"/>
      <c r="G38" s="152"/>
      <c r="H38" s="152"/>
    </row>
    <row r="39" spans="1:8" ht="26.25" customHeight="1" x14ac:dyDescent="0.25">
      <c r="B39" s="152"/>
      <c r="C39" s="152"/>
      <c r="D39" s="152"/>
      <c r="E39" s="152"/>
      <c r="F39" s="152"/>
      <c r="G39" s="152"/>
      <c r="H39" s="152"/>
    </row>
    <row r="40" spans="1:8" ht="17.25" customHeight="1" x14ac:dyDescent="0.25">
      <c r="B40" s="116"/>
      <c r="C40" s="116"/>
      <c r="D40" s="116"/>
      <c r="E40" s="116"/>
      <c r="F40" s="116"/>
      <c r="G40" s="116"/>
      <c r="H40" s="116"/>
    </row>
    <row r="41" spans="1:8" x14ac:dyDescent="0.25">
      <c r="A41" s="135"/>
      <c r="B41" s="136"/>
      <c r="C41" s="136"/>
      <c r="D41" s="136"/>
      <c r="E41" s="136"/>
      <c r="F41" s="136"/>
      <c r="G41" s="136"/>
      <c r="H41" s="136"/>
    </row>
    <row r="42" spans="1:8" x14ac:dyDescent="0.25">
      <c r="A42" s="13" t="s">
        <v>49</v>
      </c>
      <c r="B42" s="5" t="s">
        <v>50</v>
      </c>
    </row>
    <row r="43" spans="1:8" ht="38.25" customHeight="1" x14ac:dyDescent="0.25">
      <c r="B43" s="160" t="s">
        <v>51</v>
      </c>
      <c r="C43" s="160"/>
      <c r="D43" s="160"/>
      <c r="E43" s="160"/>
      <c r="F43" s="160"/>
      <c r="G43" s="160"/>
      <c r="H43" s="160"/>
    </row>
    <row r="44" spans="1:8" ht="6" customHeight="1" x14ac:dyDescent="0.25"/>
    <row r="45" spans="1:8" ht="27" customHeight="1" x14ac:dyDescent="0.25">
      <c r="B45" s="160" t="s">
        <v>448</v>
      </c>
      <c r="C45" s="160"/>
      <c r="D45" s="160"/>
      <c r="E45" s="160"/>
      <c r="F45" s="160"/>
      <c r="G45" s="160"/>
      <c r="H45" s="160"/>
    </row>
    <row r="46" spans="1:8" ht="6" customHeight="1" x14ac:dyDescent="0.25"/>
    <row r="47" spans="1:8" ht="39" customHeight="1" x14ac:dyDescent="0.25">
      <c r="A47" s="20"/>
      <c r="B47" s="160" t="s">
        <v>666</v>
      </c>
      <c r="C47" s="160"/>
      <c r="D47" s="160"/>
      <c r="E47" s="160"/>
      <c r="F47" s="160"/>
      <c r="G47" s="160"/>
      <c r="H47" s="160"/>
    </row>
    <row r="48" spans="1:8" ht="15" customHeight="1" x14ac:dyDescent="0.25">
      <c r="A48" s="20"/>
      <c r="B48" s="108"/>
      <c r="C48" s="108"/>
      <c r="D48" s="108"/>
      <c r="E48" s="108"/>
      <c r="F48" s="108"/>
      <c r="G48" s="108"/>
      <c r="H48" s="108"/>
    </row>
    <row r="49" spans="1:8" x14ac:dyDescent="0.25">
      <c r="A49" s="13" t="s">
        <v>133</v>
      </c>
      <c r="B49" s="5" t="s">
        <v>184</v>
      </c>
    </row>
    <row r="50" spans="1:8" ht="62.25" customHeight="1" x14ac:dyDescent="0.25">
      <c r="B50" s="163" t="s">
        <v>469</v>
      </c>
      <c r="C50" s="163"/>
      <c r="D50" s="163"/>
      <c r="E50" s="163"/>
      <c r="F50" s="163"/>
      <c r="G50" s="163"/>
      <c r="H50" s="163"/>
    </row>
    <row r="51" spans="1:8" ht="6" customHeight="1" x14ac:dyDescent="0.25">
      <c r="B51" s="75"/>
      <c r="C51" s="75"/>
      <c r="D51" s="75"/>
      <c r="E51" s="75"/>
      <c r="F51" s="75"/>
      <c r="G51" s="75"/>
      <c r="H51" s="75"/>
    </row>
    <row r="52" spans="1:8" ht="25.5" customHeight="1" x14ac:dyDescent="0.25">
      <c r="B52" s="163" t="s">
        <v>452</v>
      </c>
      <c r="C52" s="163"/>
      <c r="D52" s="163"/>
      <c r="E52" s="163"/>
      <c r="F52" s="163"/>
      <c r="G52" s="163"/>
      <c r="H52" s="163"/>
    </row>
    <row r="53" spans="1:8" ht="6" customHeight="1" x14ac:dyDescent="0.25">
      <c r="B53" s="75"/>
      <c r="C53" s="75"/>
      <c r="D53" s="75"/>
      <c r="E53" s="75"/>
      <c r="F53" s="75"/>
      <c r="G53" s="75"/>
      <c r="H53" s="75"/>
    </row>
    <row r="54" spans="1:8" ht="63.75" customHeight="1" x14ac:dyDescent="0.25">
      <c r="B54" s="163" t="s">
        <v>667</v>
      </c>
      <c r="C54" s="163"/>
      <c r="D54" s="163"/>
      <c r="E54" s="163"/>
      <c r="F54" s="163"/>
      <c r="G54" s="163"/>
      <c r="H54" s="163"/>
    </row>
    <row r="55" spans="1:8" ht="6" customHeight="1" x14ac:dyDescent="0.25">
      <c r="B55" s="75"/>
      <c r="C55" s="75"/>
      <c r="D55" s="75"/>
      <c r="E55" s="75"/>
      <c r="F55" s="75"/>
      <c r="G55" s="75"/>
      <c r="H55" s="75"/>
    </row>
    <row r="56" spans="1:8" ht="85.5" customHeight="1" x14ac:dyDescent="0.25">
      <c r="B56" s="163" t="s">
        <v>457</v>
      </c>
      <c r="C56" s="163"/>
      <c r="D56" s="163"/>
      <c r="E56" s="163"/>
      <c r="F56" s="163"/>
      <c r="G56" s="163"/>
      <c r="H56" s="163"/>
    </row>
    <row r="57" spans="1:8" x14ac:dyDescent="0.25">
      <c r="B57" s="102"/>
      <c r="C57" s="102"/>
      <c r="D57" s="102"/>
      <c r="E57" s="102"/>
      <c r="F57" s="102"/>
      <c r="G57" s="102"/>
      <c r="H57" s="102"/>
    </row>
    <row r="58" spans="1:8" x14ac:dyDescent="0.25">
      <c r="A58" s="13" t="s">
        <v>134</v>
      </c>
      <c r="B58" s="103" t="s">
        <v>458</v>
      </c>
      <c r="C58" s="102"/>
      <c r="D58" s="102"/>
      <c r="E58" s="102"/>
      <c r="F58" s="102"/>
      <c r="G58" s="102"/>
      <c r="H58" s="102"/>
    </row>
    <row r="59" spans="1:8" ht="25.5" customHeight="1" x14ac:dyDescent="0.25">
      <c r="B59" s="163" t="s">
        <v>372</v>
      </c>
      <c r="C59" s="163"/>
      <c r="D59" s="163"/>
      <c r="E59" s="163"/>
      <c r="F59" s="163"/>
      <c r="G59" s="163"/>
      <c r="H59" s="163"/>
    </row>
    <row r="60" spans="1:8" ht="15" customHeight="1" x14ac:dyDescent="0.25">
      <c r="A60" s="38" t="s">
        <v>453</v>
      </c>
      <c r="B60" s="163" t="s">
        <v>668</v>
      </c>
      <c r="C60" s="163"/>
      <c r="D60" s="163"/>
      <c r="E60" s="163"/>
      <c r="F60" s="163"/>
      <c r="G60" s="163"/>
      <c r="H60" s="163"/>
    </row>
    <row r="62" spans="1:8" x14ac:dyDescent="0.25">
      <c r="A62" s="13" t="s">
        <v>52</v>
      </c>
      <c r="B62" s="5" t="s">
        <v>183</v>
      </c>
    </row>
    <row r="63" spans="1:8" ht="38.25" customHeight="1" x14ac:dyDescent="0.25">
      <c r="B63" s="163" t="s">
        <v>449</v>
      </c>
      <c r="C63" s="163"/>
      <c r="D63" s="163"/>
      <c r="E63" s="163"/>
      <c r="F63" s="163"/>
      <c r="G63" s="163"/>
      <c r="H63" s="163"/>
    </row>
    <row r="64" spans="1:8" ht="6" customHeight="1" x14ac:dyDescent="0.25">
      <c r="B64" s="163"/>
      <c r="C64" s="163"/>
      <c r="D64" s="163"/>
      <c r="E64" s="163"/>
      <c r="F64" s="163"/>
      <c r="G64" s="163"/>
      <c r="H64" s="163"/>
    </row>
    <row r="65" spans="1:8" ht="40.5" customHeight="1" x14ac:dyDescent="0.25">
      <c r="A65" s="88" t="s">
        <v>450</v>
      </c>
      <c r="B65" s="163" t="s">
        <v>867</v>
      </c>
      <c r="C65" s="163"/>
      <c r="D65" s="163"/>
      <c r="E65" s="163"/>
      <c r="F65" s="163"/>
      <c r="G65" s="163"/>
      <c r="H65" s="163"/>
    </row>
    <row r="66" spans="1:8" ht="6" customHeight="1" x14ac:dyDescent="0.25">
      <c r="A66" s="88"/>
      <c r="B66" s="137"/>
      <c r="C66" s="137"/>
      <c r="D66" s="137"/>
      <c r="E66" s="137"/>
      <c r="F66" s="137"/>
      <c r="G66" s="137"/>
      <c r="H66" s="137"/>
    </row>
    <row r="67" spans="1:8" ht="51" customHeight="1" x14ac:dyDescent="0.25">
      <c r="A67" s="88" t="s">
        <v>451</v>
      </c>
      <c r="B67" s="163" t="s">
        <v>669</v>
      </c>
      <c r="C67" s="163"/>
      <c r="D67" s="163"/>
      <c r="E67" s="163"/>
      <c r="F67" s="163"/>
      <c r="G67" s="163"/>
      <c r="H67" s="163"/>
    </row>
    <row r="68" spans="1:8" ht="6" customHeight="1" x14ac:dyDescent="0.25">
      <c r="A68" s="88"/>
      <c r="B68" s="75"/>
      <c r="C68" s="75"/>
      <c r="D68" s="75"/>
      <c r="E68" s="75"/>
      <c r="F68" s="75"/>
      <c r="G68" s="75"/>
      <c r="H68" s="75"/>
    </row>
    <row r="69" spans="1:8" ht="20.25" customHeight="1" x14ac:dyDescent="0.25">
      <c r="A69" s="88"/>
      <c r="B69" s="137"/>
      <c r="C69" s="137"/>
      <c r="D69" s="137"/>
      <c r="E69" s="137"/>
      <c r="F69" s="137"/>
      <c r="G69" s="137"/>
      <c r="H69" s="137"/>
    </row>
    <row r="70" spans="1:8" ht="33.75" customHeight="1" x14ac:dyDescent="0.25">
      <c r="A70" s="88"/>
      <c r="B70" s="137"/>
      <c r="C70" s="137"/>
      <c r="D70" s="137"/>
      <c r="E70" s="137"/>
      <c r="F70" s="137"/>
      <c r="G70" s="137"/>
      <c r="H70" s="137"/>
    </row>
    <row r="71" spans="1:8" ht="15" customHeight="1" x14ac:dyDescent="0.25">
      <c r="A71" s="156"/>
      <c r="B71" s="157"/>
      <c r="C71" s="157"/>
      <c r="D71" s="157"/>
      <c r="E71" s="157"/>
      <c r="F71" s="157"/>
      <c r="G71" s="157"/>
      <c r="H71" s="157"/>
    </row>
    <row r="72" spans="1:8" ht="228.75" customHeight="1" x14ac:dyDescent="0.25">
      <c r="A72" s="88" t="s">
        <v>670</v>
      </c>
      <c r="B72" s="163" t="s">
        <v>868</v>
      </c>
      <c r="C72" s="163"/>
      <c r="D72" s="163"/>
      <c r="E72" s="163"/>
      <c r="F72" s="163"/>
      <c r="G72" s="163"/>
      <c r="H72" s="163"/>
    </row>
    <row r="73" spans="1:8" ht="4.5" customHeight="1" x14ac:dyDescent="0.25">
      <c r="A73" s="88"/>
      <c r="B73" s="75"/>
      <c r="C73" s="75"/>
      <c r="D73" s="75"/>
      <c r="E73" s="75"/>
      <c r="F73" s="75"/>
      <c r="G73" s="75"/>
      <c r="H73" s="75"/>
    </row>
    <row r="74" spans="1:8" ht="57" customHeight="1" x14ac:dyDescent="0.25">
      <c r="A74" s="88" t="s">
        <v>869</v>
      </c>
      <c r="B74" s="163" t="s">
        <v>870</v>
      </c>
      <c r="C74" s="163"/>
      <c r="D74" s="163"/>
      <c r="E74" s="163"/>
      <c r="F74" s="163"/>
      <c r="G74" s="163"/>
      <c r="H74" s="163"/>
    </row>
    <row r="75" spans="1:8" x14ac:dyDescent="0.25">
      <c r="A75" s="13" t="s">
        <v>136</v>
      </c>
      <c r="B75" s="5" t="s">
        <v>16</v>
      </c>
    </row>
    <row r="76" spans="1:8" ht="27.75" customHeight="1" x14ac:dyDescent="0.25">
      <c r="B76" s="160" t="s">
        <v>470</v>
      </c>
      <c r="C76" s="160"/>
      <c r="D76" s="160"/>
      <c r="E76" s="160"/>
      <c r="F76" s="160"/>
      <c r="G76" s="160"/>
      <c r="H76" s="160"/>
    </row>
    <row r="78" spans="1:8" x14ac:dyDescent="0.25">
      <c r="A78" s="13" t="s">
        <v>137</v>
      </c>
      <c r="B78" s="5" t="s">
        <v>671</v>
      </c>
    </row>
    <row r="79" spans="1:8" ht="27.75" customHeight="1" x14ac:dyDescent="0.25">
      <c r="B79" s="160" t="s">
        <v>672</v>
      </c>
      <c r="C79" s="160"/>
      <c r="D79" s="160"/>
      <c r="E79" s="160"/>
      <c r="F79" s="160"/>
      <c r="G79" s="160"/>
      <c r="H79" s="160"/>
    </row>
    <row r="80" spans="1:8" ht="33" customHeight="1" x14ac:dyDescent="0.25">
      <c r="B80" s="27"/>
      <c r="C80" s="241" t="s">
        <v>674</v>
      </c>
      <c r="D80" s="241" t="s">
        <v>833</v>
      </c>
      <c r="E80" s="246" t="s">
        <v>840</v>
      </c>
      <c r="F80" s="246" t="s">
        <v>846</v>
      </c>
      <c r="G80" s="246" t="s">
        <v>847</v>
      </c>
    </row>
    <row r="81" spans="2:8" x14ac:dyDescent="0.25">
      <c r="B81" s="242" t="s">
        <v>673</v>
      </c>
      <c r="C81" s="99"/>
      <c r="D81" s="99"/>
      <c r="E81" s="99"/>
      <c r="F81" s="99"/>
      <c r="G81" s="99"/>
      <c r="H81" s="102"/>
    </row>
    <row r="82" spans="2:8" x14ac:dyDescent="0.25">
      <c r="B82" s="99"/>
      <c r="C82" s="99"/>
      <c r="D82" s="99"/>
      <c r="E82" s="99"/>
      <c r="F82" s="99"/>
      <c r="G82" s="99"/>
      <c r="H82" s="102"/>
    </row>
    <row r="83" spans="2:8" x14ac:dyDescent="0.25">
      <c r="B83" s="243" t="s">
        <v>825</v>
      </c>
      <c r="C83" s="244">
        <f>SUM(C84:C90)</f>
        <v>146170.15</v>
      </c>
      <c r="D83" s="244">
        <f>SUM(D84:D91)</f>
        <v>220150</v>
      </c>
      <c r="E83" s="244">
        <f>SUM(E84:E91)</f>
        <v>823313</v>
      </c>
      <c r="F83" s="244">
        <f t="shared" ref="F83:G83" si="0">SUM(F84:F91)</f>
        <v>0</v>
      </c>
      <c r="G83" s="244">
        <f t="shared" si="0"/>
        <v>0</v>
      </c>
      <c r="H83" s="239"/>
    </row>
    <row r="84" spans="2:8" x14ac:dyDescent="0.25">
      <c r="B84" s="99" t="s">
        <v>805</v>
      </c>
      <c r="C84" s="245">
        <v>7000</v>
      </c>
      <c r="D84" s="245"/>
      <c r="E84" s="245">
        <v>115975</v>
      </c>
      <c r="F84" s="245"/>
      <c r="G84" s="245"/>
      <c r="H84" s="239"/>
    </row>
    <row r="85" spans="2:8" x14ac:dyDescent="0.25">
      <c r="B85" s="99" t="s">
        <v>161</v>
      </c>
      <c r="C85" s="245">
        <v>1500</v>
      </c>
      <c r="D85" s="245"/>
      <c r="E85" s="245">
        <v>9000</v>
      </c>
      <c r="F85" s="245"/>
      <c r="G85" s="245"/>
      <c r="H85" s="239"/>
    </row>
    <row r="86" spans="2:8" x14ac:dyDescent="0.25">
      <c r="B86" s="99" t="s">
        <v>697</v>
      </c>
      <c r="C86" s="245">
        <v>186.55</v>
      </c>
      <c r="D86" s="245"/>
      <c r="E86" s="245">
        <v>192224</v>
      </c>
      <c r="F86" s="245"/>
      <c r="G86" s="245"/>
      <c r="H86" s="239"/>
    </row>
    <row r="87" spans="2:8" x14ac:dyDescent="0.25">
      <c r="B87" s="99" t="s">
        <v>806</v>
      </c>
      <c r="C87" s="245">
        <v>19792.46</v>
      </c>
      <c r="D87" s="245"/>
      <c r="E87" s="245"/>
      <c r="F87" s="245"/>
      <c r="G87" s="245"/>
      <c r="H87" s="239"/>
    </row>
    <row r="88" spans="2:8" x14ac:dyDescent="0.25">
      <c r="B88" s="99" t="s">
        <v>151</v>
      </c>
      <c r="C88" s="245">
        <v>22729.7</v>
      </c>
      <c r="D88" s="245">
        <v>21054</v>
      </c>
      <c r="E88" s="245"/>
      <c r="F88" s="245"/>
      <c r="G88" s="245"/>
      <c r="H88" s="239"/>
    </row>
    <row r="89" spans="2:8" x14ac:dyDescent="0.25">
      <c r="B89" s="99" t="s">
        <v>807</v>
      </c>
      <c r="C89" s="245">
        <v>6069.75</v>
      </c>
      <c r="D89" s="245"/>
      <c r="E89" s="245">
        <v>192320</v>
      </c>
      <c r="F89" s="245"/>
      <c r="G89" s="245"/>
      <c r="H89" s="239"/>
    </row>
    <row r="90" spans="2:8" x14ac:dyDescent="0.25">
      <c r="B90" s="99" t="s">
        <v>808</v>
      </c>
      <c r="C90" s="245">
        <v>88891.69</v>
      </c>
      <c r="D90" s="245">
        <v>192087</v>
      </c>
      <c r="E90" s="245">
        <f>74910+125000+16840+27200-3620+19632</f>
        <v>259962</v>
      </c>
      <c r="F90" s="245"/>
      <c r="G90" s="245"/>
      <c r="H90" s="239"/>
    </row>
    <row r="91" spans="2:8" x14ac:dyDescent="0.25">
      <c r="B91" s="99" t="s">
        <v>834</v>
      </c>
      <c r="C91" s="245">
        <v>0</v>
      </c>
      <c r="D91" s="245">
        <v>7009</v>
      </c>
      <c r="E91" s="245">
        <v>53832</v>
      </c>
      <c r="F91" s="245"/>
      <c r="G91" s="245"/>
      <c r="H91" s="239"/>
    </row>
    <row r="92" spans="2:8" x14ac:dyDescent="0.25">
      <c r="B92" s="99"/>
      <c r="C92" s="245"/>
      <c r="D92" s="245"/>
      <c r="E92" s="245"/>
      <c r="F92" s="245"/>
      <c r="G92" s="245"/>
      <c r="H92" s="239"/>
    </row>
    <row r="93" spans="2:8" x14ac:dyDescent="0.25">
      <c r="B93" s="243" t="s">
        <v>826</v>
      </c>
      <c r="C93" s="244">
        <f>SUM(C94:C100)</f>
        <v>171163.01</v>
      </c>
      <c r="D93" s="244">
        <f t="shared" ref="D93:G93" si="1">SUM(D94:D100)</f>
        <v>341978</v>
      </c>
      <c r="E93" s="244">
        <f t="shared" ref="E93" si="2">SUM(E94:E100)</f>
        <v>350299</v>
      </c>
      <c r="F93" s="244">
        <f t="shared" ref="F93" si="3">SUM(F94:F100)</f>
        <v>0</v>
      </c>
      <c r="G93" s="244">
        <f t="shared" si="1"/>
        <v>0</v>
      </c>
      <c r="H93" s="239"/>
    </row>
    <row r="94" spans="2:8" x14ac:dyDescent="0.25">
      <c r="B94" s="99" t="s">
        <v>805</v>
      </c>
      <c r="C94" s="245">
        <v>9650</v>
      </c>
      <c r="D94" s="245"/>
      <c r="E94" s="245"/>
      <c r="F94" s="245"/>
      <c r="G94" s="245"/>
      <c r="H94" s="239"/>
    </row>
    <row r="95" spans="2:8" x14ac:dyDescent="0.25">
      <c r="B95" s="99" t="s">
        <v>161</v>
      </c>
      <c r="C95" s="245">
        <v>14500</v>
      </c>
      <c r="D95" s="245"/>
      <c r="E95" s="245"/>
      <c r="F95" s="245"/>
      <c r="G95" s="245"/>
      <c r="H95" s="239"/>
    </row>
    <row r="96" spans="2:8" x14ac:dyDescent="0.25">
      <c r="B96" s="99" t="s">
        <v>697</v>
      </c>
      <c r="C96" s="245">
        <v>24994</v>
      </c>
      <c r="D96" s="245"/>
      <c r="E96" s="245"/>
      <c r="F96" s="245"/>
      <c r="G96" s="245"/>
      <c r="H96" s="239"/>
    </row>
    <row r="97" spans="1:8" x14ac:dyDescent="0.25">
      <c r="B97" s="99" t="s">
        <v>806</v>
      </c>
      <c r="C97" s="245">
        <v>0</v>
      </c>
      <c r="D97" s="245"/>
      <c r="E97" s="245"/>
      <c r="F97" s="245"/>
      <c r="G97" s="245"/>
      <c r="H97" s="239"/>
    </row>
    <row r="98" spans="1:8" x14ac:dyDescent="0.25">
      <c r="B98" s="99" t="s">
        <v>151</v>
      </c>
      <c r="C98" s="245">
        <v>22055.51</v>
      </c>
      <c r="D98" s="245">
        <v>27768</v>
      </c>
      <c r="E98" s="245"/>
      <c r="F98" s="245"/>
      <c r="G98" s="245"/>
      <c r="H98" s="239"/>
    </row>
    <row r="99" spans="1:8" x14ac:dyDescent="0.25">
      <c r="B99" s="99" t="s">
        <v>807</v>
      </c>
      <c r="C99" s="245">
        <v>0</v>
      </c>
      <c r="D99" s="245"/>
      <c r="E99" s="245">
        <f>57183+293116</f>
        <v>350299</v>
      </c>
      <c r="F99" s="245"/>
      <c r="G99" s="245"/>
      <c r="H99" s="239"/>
    </row>
    <row r="100" spans="1:8" x14ac:dyDescent="0.25">
      <c r="B100" s="99" t="s">
        <v>808</v>
      </c>
      <c r="C100" s="245">
        <v>99963.5</v>
      </c>
      <c r="D100" s="245">
        <v>314210</v>
      </c>
      <c r="E100" s="245"/>
      <c r="F100" s="245"/>
      <c r="G100" s="245"/>
      <c r="H100" s="239"/>
    </row>
    <row r="101" spans="1:8" x14ac:dyDescent="0.25">
      <c r="B101" s="99"/>
      <c r="C101" s="245"/>
      <c r="D101" s="245"/>
      <c r="E101" s="245"/>
      <c r="F101" s="245"/>
      <c r="G101" s="245"/>
      <c r="H101" s="102"/>
    </row>
    <row r="102" spans="1:8" x14ac:dyDescent="0.25">
      <c r="A102" s="10"/>
      <c r="B102" s="238"/>
      <c r="C102" s="238"/>
      <c r="D102" s="238"/>
      <c r="E102" s="238"/>
      <c r="F102" s="238"/>
      <c r="G102" s="238"/>
      <c r="H102" s="240"/>
    </row>
    <row r="103" spans="1:8" ht="29.25" customHeight="1" x14ac:dyDescent="0.25">
      <c r="B103" s="99"/>
      <c r="C103" s="246" t="s">
        <v>674</v>
      </c>
      <c r="D103" s="246" t="s">
        <v>833</v>
      </c>
      <c r="E103" s="246" t="s">
        <v>840</v>
      </c>
      <c r="F103" s="246" t="s">
        <v>846</v>
      </c>
      <c r="G103" s="246" t="s">
        <v>847</v>
      </c>
      <c r="H103" s="102"/>
    </row>
    <row r="104" spans="1:8" x14ac:dyDescent="0.25">
      <c r="B104" s="247" t="s">
        <v>827</v>
      </c>
      <c r="C104" s="244">
        <f t="shared" ref="C104" si="4">SUM(C105:C131)</f>
        <v>69337.19</v>
      </c>
      <c r="D104" s="244">
        <f>SUM(D105:D131)</f>
        <v>287096</v>
      </c>
      <c r="E104" s="244">
        <f>SUM(E105:E131)</f>
        <v>649310</v>
      </c>
      <c r="F104" s="244">
        <f t="shared" ref="F104:G104" si="5">SUM(F105:F131)</f>
        <v>0</v>
      </c>
      <c r="G104" s="244">
        <f t="shared" si="5"/>
        <v>0</v>
      </c>
      <c r="H104" s="102"/>
    </row>
    <row r="105" spans="1:8" ht="11.25" customHeight="1" x14ac:dyDescent="0.25">
      <c r="B105" s="99" t="s">
        <v>809</v>
      </c>
      <c r="C105" s="245">
        <v>3990</v>
      </c>
      <c r="D105" s="245"/>
      <c r="E105" s="245">
        <v>3000</v>
      </c>
      <c r="F105" s="245"/>
      <c r="G105" s="245"/>
      <c r="H105" s="102"/>
    </row>
    <row r="106" spans="1:8" ht="11.25" customHeight="1" x14ac:dyDescent="0.25">
      <c r="B106" s="99" t="s">
        <v>838</v>
      </c>
      <c r="C106" s="245"/>
      <c r="D106" s="245">
        <v>73282</v>
      </c>
      <c r="E106" s="245"/>
      <c r="F106" s="245"/>
      <c r="G106" s="245"/>
      <c r="H106" s="102"/>
    </row>
    <row r="107" spans="1:8" ht="11.25" customHeight="1" x14ac:dyDescent="0.25">
      <c r="B107" s="99" t="s">
        <v>160</v>
      </c>
      <c r="C107" s="245">
        <v>1795.8</v>
      </c>
      <c r="D107" s="245">
        <v>1776</v>
      </c>
      <c r="E107" s="245">
        <v>5506</v>
      </c>
      <c r="F107" s="245"/>
      <c r="G107" s="245"/>
      <c r="H107" s="102"/>
    </row>
    <row r="108" spans="1:8" ht="11.25" customHeight="1" x14ac:dyDescent="0.25">
      <c r="B108" s="99" t="s">
        <v>810</v>
      </c>
      <c r="C108" s="245">
        <v>0</v>
      </c>
      <c r="D108" s="245"/>
      <c r="E108" s="245">
        <v>4500</v>
      </c>
      <c r="F108" s="245"/>
      <c r="G108" s="245"/>
      <c r="H108" s="102"/>
    </row>
    <row r="109" spans="1:8" ht="11.25" customHeight="1" x14ac:dyDescent="0.25">
      <c r="B109" s="99" t="s">
        <v>811</v>
      </c>
      <c r="C109" s="245">
        <v>26619.53</v>
      </c>
      <c r="D109" s="245">
        <v>1125</v>
      </c>
      <c r="E109" s="245">
        <v>37800</v>
      </c>
      <c r="F109" s="245"/>
      <c r="G109" s="245"/>
      <c r="H109" s="102"/>
    </row>
    <row r="110" spans="1:8" ht="11.25" customHeight="1" x14ac:dyDescent="0.25">
      <c r="B110" s="99" t="s">
        <v>812</v>
      </c>
      <c r="C110" s="245">
        <v>0</v>
      </c>
      <c r="D110" s="245"/>
      <c r="E110" s="245">
        <f>18784+3195+4800</f>
        <v>26779</v>
      </c>
      <c r="F110" s="245"/>
      <c r="G110" s="245"/>
      <c r="H110" s="102"/>
    </row>
    <row r="111" spans="1:8" ht="11.25" customHeight="1" x14ac:dyDescent="0.25">
      <c r="B111" s="99" t="s">
        <v>813</v>
      </c>
      <c r="C111" s="245">
        <v>3309.46</v>
      </c>
      <c r="D111" s="245"/>
      <c r="E111" s="245">
        <v>8420</v>
      </c>
      <c r="F111" s="245"/>
      <c r="G111" s="245"/>
      <c r="H111" s="102"/>
    </row>
    <row r="112" spans="1:8" ht="11.25" customHeight="1" x14ac:dyDescent="0.25">
      <c r="B112" s="99" t="s">
        <v>814</v>
      </c>
      <c r="C112" s="245">
        <v>456</v>
      </c>
      <c r="D112" s="245"/>
      <c r="E112" s="245"/>
      <c r="F112" s="245"/>
      <c r="G112" s="245"/>
      <c r="H112" s="102"/>
    </row>
    <row r="113" spans="2:8" ht="11.25" customHeight="1" x14ac:dyDescent="0.25">
      <c r="B113" s="99" t="s">
        <v>829</v>
      </c>
      <c r="C113" s="245">
        <v>0</v>
      </c>
      <c r="D113" s="245"/>
      <c r="E113" s="245"/>
      <c r="F113" s="245"/>
      <c r="G113" s="245"/>
      <c r="H113" s="102"/>
    </row>
    <row r="114" spans="2:8" ht="11.25" customHeight="1" x14ac:dyDescent="0.25">
      <c r="B114" s="99" t="s">
        <v>836</v>
      </c>
      <c r="C114" s="245"/>
      <c r="D114" s="245">
        <f>8967+12520</f>
        <v>21487</v>
      </c>
      <c r="E114" s="245"/>
      <c r="F114" s="245"/>
      <c r="G114" s="245"/>
      <c r="H114" s="102"/>
    </row>
    <row r="115" spans="2:8" ht="11.25" customHeight="1" x14ac:dyDescent="0.25">
      <c r="B115" s="99" t="s">
        <v>837</v>
      </c>
      <c r="C115" s="245"/>
      <c r="D115" s="245">
        <v>76263</v>
      </c>
      <c r="E115" s="245">
        <f>7240+233770</f>
        <v>241010</v>
      </c>
      <c r="F115" s="245"/>
      <c r="G115" s="245"/>
      <c r="H115" s="102"/>
    </row>
    <row r="116" spans="2:8" ht="11.25" customHeight="1" x14ac:dyDescent="0.25">
      <c r="B116" s="99" t="s">
        <v>815</v>
      </c>
      <c r="C116" s="245">
        <v>410</v>
      </c>
      <c r="D116" s="245"/>
      <c r="E116" s="245"/>
      <c r="F116" s="245"/>
      <c r="G116" s="245"/>
      <c r="H116" s="102"/>
    </row>
    <row r="117" spans="2:8" ht="11.25" customHeight="1" x14ac:dyDescent="0.25">
      <c r="B117" s="99" t="s">
        <v>816</v>
      </c>
      <c r="C117" s="245">
        <v>0</v>
      </c>
      <c r="D117" s="245"/>
      <c r="E117" s="245"/>
      <c r="F117" s="245"/>
      <c r="G117" s="245"/>
      <c r="H117" s="102"/>
    </row>
    <row r="118" spans="2:8" ht="11.25" customHeight="1" x14ac:dyDescent="0.25">
      <c r="B118" s="99" t="s">
        <v>817</v>
      </c>
      <c r="C118" s="245">
        <v>0</v>
      </c>
      <c r="D118" s="245"/>
      <c r="E118" s="245">
        <v>200768</v>
      </c>
      <c r="F118" s="245"/>
      <c r="G118" s="245"/>
      <c r="H118" s="102"/>
    </row>
    <row r="119" spans="2:8" ht="11.25" customHeight="1" x14ac:dyDescent="0.25">
      <c r="B119" s="99" t="s">
        <v>818</v>
      </c>
      <c r="C119" s="245">
        <v>5393.6</v>
      </c>
      <c r="D119" s="245"/>
      <c r="E119" s="245"/>
      <c r="F119" s="245"/>
      <c r="G119" s="245"/>
      <c r="H119" s="102"/>
    </row>
    <row r="120" spans="2:8" ht="11.25" customHeight="1" x14ac:dyDescent="0.25">
      <c r="B120" s="99" t="s">
        <v>819</v>
      </c>
      <c r="C120" s="245">
        <v>20000</v>
      </c>
      <c r="D120" s="245"/>
      <c r="E120" s="245"/>
      <c r="F120" s="245"/>
      <c r="G120" s="245"/>
      <c r="H120" s="102"/>
    </row>
    <row r="121" spans="2:8" ht="11.25" customHeight="1" x14ac:dyDescent="0.25">
      <c r="B121" s="99" t="s">
        <v>820</v>
      </c>
      <c r="C121" s="245">
        <v>1012</v>
      </c>
      <c r="D121" s="245"/>
      <c r="E121" s="245"/>
      <c r="F121" s="245"/>
      <c r="G121" s="245"/>
      <c r="H121" s="102"/>
    </row>
    <row r="122" spans="2:8" ht="11.25" customHeight="1" x14ac:dyDescent="0.25">
      <c r="B122" s="99" t="s">
        <v>821</v>
      </c>
      <c r="C122" s="245">
        <v>2450</v>
      </c>
      <c r="D122" s="245">
        <f>45544+17500</f>
        <v>63044</v>
      </c>
      <c r="E122" s="245"/>
      <c r="F122" s="245"/>
      <c r="G122" s="245"/>
      <c r="H122" s="102"/>
    </row>
    <row r="123" spans="2:8" ht="11.25" customHeight="1" x14ac:dyDescent="0.25">
      <c r="B123" s="99" t="s">
        <v>822</v>
      </c>
      <c r="C123" s="245">
        <v>2250</v>
      </c>
      <c r="D123" s="245"/>
      <c r="E123" s="245"/>
      <c r="F123" s="245"/>
      <c r="G123" s="245"/>
      <c r="H123" s="102"/>
    </row>
    <row r="124" spans="2:8" ht="11.25" customHeight="1" x14ac:dyDescent="0.25">
      <c r="B124" s="99" t="s">
        <v>823</v>
      </c>
      <c r="C124" s="245">
        <v>888.8</v>
      </c>
      <c r="D124" s="245"/>
      <c r="E124" s="245">
        <v>1200</v>
      </c>
      <c r="F124" s="245"/>
      <c r="G124" s="245"/>
      <c r="H124" s="102"/>
    </row>
    <row r="125" spans="2:8" ht="11.25" customHeight="1" x14ac:dyDescent="0.25">
      <c r="B125" s="99" t="s">
        <v>830</v>
      </c>
      <c r="C125" s="245">
        <v>762</v>
      </c>
      <c r="D125" s="245">
        <v>1495</v>
      </c>
      <c r="E125" s="245">
        <f>9305+7920</f>
        <v>17225</v>
      </c>
      <c r="F125" s="245"/>
      <c r="G125" s="245"/>
      <c r="H125" s="102"/>
    </row>
    <row r="126" spans="2:8" ht="11.25" customHeight="1" x14ac:dyDescent="0.25">
      <c r="B126" s="99" t="s">
        <v>835</v>
      </c>
      <c r="C126" s="245"/>
      <c r="D126" s="245">
        <v>25600</v>
      </c>
      <c r="E126" s="245"/>
      <c r="F126" s="245"/>
      <c r="G126" s="245"/>
      <c r="H126" s="102"/>
    </row>
    <row r="127" spans="2:8" ht="11.25" customHeight="1" x14ac:dyDescent="0.25">
      <c r="B127" s="99" t="s">
        <v>841</v>
      </c>
      <c r="C127" s="245"/>
      <c r="D127" s="245"/>
      <c r="E127" s="245">
        <v>8666</v>
      </c>
      <c r="F127" s="245"/>
      <c r="G127" s="245"/>
      <c r="H127" s="102"/>
    </row>
    <row r="128" spans="2:8" ht="11.25" customHeight="1" x14ac:dyDescent="0.25">
      <c r="B128" s="99" t="s">
        <v>842</v>
      </c>
      <c r="C128" s="245"/>
      <c r="D128" s="245"/>
      <c r="E128" s="245">
        <v>13563</v>
      </c>
      <c r="F128" s="245"/>
      <c r="G128" s="245"/>
      <c r="H128" s="102"/>
    </row>
    <row r="129" spans="2:8" ht="11.25" customHeight="1" x14ac:dyDescent="0.25">
      <c r="B129" s="99" t="s">
        <v>843</v>
      </c>
      <c r="C129" s="245"/>
      <c r="D129" s="245"/>
      <c r="E129" s="245">
        <v>17231</v>
      </c>
      <c r="F129" s="245"/>
      <c r="G129" s="245"/>
      <c r="H129" s="102"/>
    </row>
    <row r="130" spans="2:8" ht="11.25" customHeight="1" x14ac:dyDescent="0.25">
      <c r="B130" s="99" t="s">
        <v>844</v>
      </c>
      <c r="C130" s="245"/>
      <c r="D130" s="245"/>
      <c r="E130" s="245">
        <v>54500</v>
      </c>
      <c r="F130" s="245"/>
      <c r="G130" s="245"/>
      <c r="H130" s="102"/>
    </row>
    <row r="131" spans="2:8" ht="11.25" customHeight="1" x14ac:dyDescent="0.25">
      <c r="B131" s="99" t="s">
        <v>839</v>
      </c>
      <c r="C131" s="245"/>
      <c r="D131" s="245">
        <v>23024</v>
      </c>
      <c r="E131" s="245">
        <f>7960+1150+32</f>
        <v>9142</v>
      </c>
      <c r="F131" s="245"/>
      <c r="G131" s="245"/>
      <c r="H131" s="102"/>
    </row>
    <row r="132" spans="2:8" x14ac:dyDescent="0.25">
      <c r="B132" s="99"/>
      <c r="C132" s="245"/>
      <c r="D132" s="245"/>
      <c r="E132" s="245"/>
      <c r="F132" s="245"/>
      <c r="G132" s="245"/>
      <c r="H132" s="102"/>
    </row>
    <row r="133" spans="2:8" x14ac:dyDescent="0.25">
      <c r="B133" s="243" t="s">
        <v>828</v>
      </c>
      <c r="C133" s="244">
        <f t="shared" ref="C133:G133" si="6">SUM(C134:C161)</f>
        <v>220299.74000000002</v>
      </c>
      <c r="D133" s="244">
        <f t="shared" si="6"/>
        <v>500722</v>
      </c>
      <c r="E133" s="244">
        <f t="shared" si="6"/>
        <v>717556</v>
      </c>
      <c r="F133" s="244">
        <f t="shared" si="6"/>
        <v>0</v>
      </c>
      <c r="G133" s="244">
        <f t="shared" si="6"/>
        <v>0</v>
      </c>
      <c r="H133" s="102"/>
    </row>
    <row r="134" spans="2:8" ht="11.25" customHeight="1" x14ac:dyDescent="0.25">
      <c r="B134" s="99" t="s">
        <v>809</v>
      </c>
      <c r="C134" s="245">
        <v>6498</v>
      </c>
      <c r="D134" s="245"/>
      <c r="E134" s="245">
        <v>27650</v>
      </c>
      <c r="F134" s="245"/>
      <c r="G134" s="245"/>
      <c r="H134" s="102"/>
    </row>
    <row r="135" spans="2:8" ht="11.25" customHeight="1" x14ac:dyDescent="0.25">
      <c r="B135" s="99" t="s">
        <v>838</v>
      </c>
      <c r="C135" s="245"/>
      <c r="D135" s="245">
        <v>78738</v>
      </c>
      <c r="E135" s="245">
        <v>5000</v>
      </c>
      <c r="F135" s="245"/>
      <c r="G135" s="245"/>
      <c r="H135" s="102"/>
    </row>
    <row r="136" spans="2:8" ht="11.25" customHeight="1" x14ac:dyDescent="0.25">
      <c r="B136" s="99" t="s">
        <v>160</v>
      </c>
      <c r="C136" s="245">
        <v>2333.33</v>
      </c>
      <c r="D136" s="245">
        <v>1866</v>
      </c>
      <c r="E136" s="245">
        <v>6269</v>
      </c>
      <c r="F136" s="245"/>
      <c r="G136" s="245"/>
      <c r="H136" s="102"/>
    </row>
    <row r="137" spans="2:8" ht="11.25" customHeight="1" x14ac:dyDescent="0.25">
      <c r="B137" s="99" t="s">
        <v>810</v>
      </c>
      <c r="C137" s="245">
        <v>5205</v>
      </c>
      <c r="D137" s="245"/>
      <c r="E137" s="245"/>
      <c r="F137" s="245"/>
      <c r="G137" s="245"/>
      <c r="H137" s="102"/>
    </row>
    <row r="138" spans="2:8" ht="11.25" customHeight="1" x14ac:dyDescent="0.25">
      <c r="B138" s="99" t="s">
        <v>811</v>
      </c>
      <c r="C138" s="245">
        <v>29507.5</v>
      </c>
      <c r="D138" s="245">
        <v>73080</v>
      </c>
      <c r="E138" s="245"/>
      <c r="F138" s="245"/>
      <c r="G138" s="245"/>
      <c r="H138" s="102"/>
    </row>
    <row r="139" spans="2:8" ht="11.25" customHeight="1" x14ac:dyDescent="0.25">
      <c r="B139" s="99" t="s">
        <v>812</v>
      </c>
      <c r="C139" s="245">
        <v>10381.25</v>
      </c>
      <c r="D139" s="245"/>
      <c r="E139" s="245">
        <v>64332</v>
      </c>
      <c r="F139" s="245"/>
      <c r="G139" s="245"/>
      <c r="H139" s="102"/>
    </row>
    <row r="140" spans="2:8" ht="11.25" customHeight="1" x14ac:dyDescent="0.25">
      <c r="B140" s="99" t="s">
        <v>813</v>
      </c>
      <c r="C140" s="245">
        <v>0</v>
      </c>
      <c r="D140" s="245"/>
      <c r="E140" s="245"/>
      <c r="F140" s="245"/>
      <c r="G140" s="245"/>
      <c r="H140" s="102"/>
    </row>
    <row r="141" spans="2:8" ht="11.25" customHeight="1" x14ac:dyDescent="0.25">
      <c r="B141" s="99" t="s">
        <v>814</v>
      </c>
      <c r="C141" s="245">
        <v>147123.70000000001</v>
      </c>
      <c r="D141" s="245"/>
      <c r="E141" s="245"/>
      <c r="F141" s="245"/>
      <c r="G141" s="245"/>
      <c r="H141" s="102"/>
    </row>
    <row r="142" spans="2:8" ht="11.25" customHeight="1" x14ac:dyDescent="0.25">
      <c r="B142" s="99" t="s">
        <v>829</v>
      </c>
      <c r="C142" s="245">
        <v>12082.24</v>
      </c>
      <c r="D142" s="245">
        <v>12082</v>
      </c>
      <c r="E142" s="245"/>
      <c r="F142" s="245"/>
      <c r="G142" s="245"/>
      <c r="H142" s="102"/>
    </row>
    <row r="143" spans="2:8" ht="11.25" customHeight="1" x14ac:dyDescent="0.25">
      <c r="B143" s="99" t="s">
        <v>836</v>
      </c>
      <c r="C143" s="245"/>
      <c r="D143" s="245">
        <f>32922+28563</f>
        <v>61485</v>
      </c>
      <c r="E143" s="245">
        <v>30000</v>
      </c>
      <c r="F143" s="245"/>
      <c r="G143" s="245"/>
      <c r="H143" s="102"/>
    </row>
    <row r="144" spans="2:8" ht="11.25" customHeight="1" x14ac:dyDescent="0.25">
      <c r="B144" s="99" t="s">
        <v>837</v>
      </c>
      <c r="C144" s="245"/>
      <c r="D144" s="245">
        <v>70944</v>
      </c>
      <c r="E144" s="245">
        <f>73410+256510</f>
        <v>329920</v>
      </c>
      <c r="F144" s="245"/>
      <c r="G144" s="245"/>
      <c r="H144" s="102"/>
    </row>
    <row r="145" spans="2:8" ht="11.25" customHeight="1" x14ac:dyDescent="0.25">
      <c r="B145" s="99" t="s">
        <v>815</v>
      </c>
      <c r="C145" s="245">
        <v>0</v>
      </c>
      <c r="D145" s="245"/>
      <c r="E145" s="245"/>
      <c r="F145" s="245"/>
      <c r="G145" s="245"/>
      <c r="H145" s="102"/>
    </row>
    <row r="146" spans="2:8" ht="11.25" customHeight="1" x14ac:dyDescent="0.25">
      <c r="B146" s="99" t="s">
        <v>816</v>
      </c>
      <c r="C146" s="245">
        <v>500</v>
      </c>
      <c r="D146" s="245"/>
      <c r="E146" s="245"/>
      <c r="F146" s="245"/>
      <c r="G146" s="245"/>
      <c r="H146" s="102"/>
    </row>
    <row r="147" spans="2:8" ht="11.25" customHeight="1" x14ac:dyDescent="0.25">
      <c r="B147" s="99" t="s">
        <v>817</v>
      </c>
      <c r="C147" s="245">
        <v>428.72</v>
      </c>
      <c r="D147" s="245"/>
      <c r="E147" s="245"/>
      <c r="F147" s="245"/>
      <c r="G147" s="245"/>
      <c r="H147" s="102"/>
    </row>
    <row r="148" spans="2:8" ht="11.25" customHeight="1" x14ac:dyDescent="0.25">
      <c r="B148" s="99" t="s">
        <v>818</v>
      </c>
      <c r="C148" s="245">
        <v>3230</v>
      </c>
      <c r="D148" s="245"/>
      <c r="E148" s="245"/>
      <c r="F148" s="245"/>
      <c r="G148" s="245"/>
      <c r="H148" s="102"/>
    </row>
    <row r="149" spans="2:8" ht="11.25" customHeight="1" x14ac:dyDescent="0.25">
      <c r="B149" s="99" t="s">
        <v>819</v>
      </c>
      <c r="C149" s="245">
        <v>0</v>
      </c>
      <c r="D149" s="245"/>
      <c r="E149" s="245"/>
      <c r="F149" s="245"/>
      <c r="G149" s="245"/>
      <c r="H149" s="102"/>
    </row>
    <row r="150" spans="2:8" ht="11.25" customHeight="1" x14ac:dyDescent="0.25">
      <c r="B150" s="99" t="s">
        <v>820</v>
      </c>
      <c r="C150" s="245">
        <v>1010</v>
      </c>
      <c r="D150" s="245">
        <v>745</v>
      </c>
      <c r="E150" s="245">
        <v>10795</v>
      </c>
      <c r="F150" s="245"/>
      <c r="G150" s="245"/>
      <c r="H150" s="102"/>
    </row>
    <row r="151" spans="2:8" ht="11.25" customHeight="1" x14ac:dyDescent="0.25">
      <c r="B151" s="99" t="s">
        <v>821</v>
      </c>
      <c r="C151" s="245">
        <v>2000</v>
      </c>
      <c r="D151" s="245">
        <f>28968+107550</f>
        <v>136518</v>
      </c>
      <c r="E151" s="245"/>
      <c r="F151" s="245"/>
      <c r="G151" s="245"/>
      <c r="H151" s="102"/>
    </row>
    <row r="152" spans="2:8" ht="11.25" customHeight="1" x14ac:dyDescent="0.25">
      <c r="B152" s="99" t="s">
        <v>822</v>
      </c>
      <c r="C152" s="245">
        <v>0</v>
      </c>
      <c r="D152" s="245"/>
      <c r="E152" s="245"/>
      <c r="F152" s="245"/>
      <c r="G152" s="245"/>
      <c r="H152" s="102"/>
    </row>
    <row r="153" spans="2:8" ht="11.25" customHeight="1" x14ac:dyDescent="0.25">
      <c r="B153" s="99" t="s">
        <v>823</v>
      </c>
      <c r="C153" s="245">
        <v>0</v>
      </c>
      <c r="D153" s="245"/>
      <c r="E153" s="245">
        <v>11600</v>
      </c>
      <c r="F153" s="245"/>
      <c r="G153" s="245"/>
      <c r="H153" s="102"/>
    </row>
    <row r="154" spans="2:8" ht="11.25" customHeight="1" x14ac:dyDescent="0.25">
      <c r="B154" s="99" t="s">
        <v>824</v>
      </c>
      <c r="C154" s="245">
        <v>0</v>
      </c>
      <c r="D154" s="245">
        <v>5674</v>
      </c>
      <c r="E154" s="245">
        <f>8678+15940+3349</f>
        <v>27967</v>
      </c>
      <c r="F154" s="245"/>
      <c r="G154" s="245"/>
      <c r="H154" s="102"/>
    </row>
    <row r="155" spans="2:8" ht="11.25" customHeight="1" x14ac:dyDescent="0.25">
      <c r="B155" s="99" t="s">
        <v>835</v>
      </c>
      <c r="C155" s="245"/>
      <c r="D155" s="245">
        <v>22800</v>
      </c>
      <c r="E155" s="245"/>
      <c r="F155" s="245"/>
      <c r="G155" s="245"/>
      <c r="H155" s="102"/>
    </row>
    <row r="156" spans="2:8" ht="11.25" customHeight="1" x14ac:dyDescent="0.25">
      <c r="B156" s="99" t="s">
        <v>841</v>
      </c>
      <c r="C156" s="245"/>
      <c r="D156" s="245"/>
      <c r="E156" s="245">
        <v>13584</v>
      </c>
      <c r="F156" s="245"/>
      <c r="G156" s="245"/>
      <c r="H156" s="102"/>
    </row>
    <row r="157" spans="2:8" ht="11.25" customHeight="1" x14ac:dyDescent="0.25">
      <c r="B157" s="99" t="s">
        <v>842</v>
      </c>
      <c r="C157" s="245"/>
      <c r="D157" s="245"/>
      <c r="E157" s="245">
        <v>36672</v>
      </c>
      <c r="F157" s="245"/>
      <c r="G157" s="245"/>
      <c r="H157" s="102"/>
    </row>
    <row r="158" spans="2:8" ht="11.25" customHeight="1" x14ac:dyDescent="0.25">
      <c r="B158" s="99" t="s">
        <v>843</v>
      </c>
      <c r="C158" s="245"/>
      <c r="D158" s="245"/>
      <c r="E158" s="245"/>
      <c r="F158" s="245"/>
      <c r="G158" s="245"/>
      <c r="H158" s="102"/>
    </row>
    <row r="159" spans="2:8" ht="11.25" customHeight="1" x14ac:dyDescent="0.25">
      <c r="B159" s="99" t="s">
        <v>844</v>
      </c>
      <c r="C159" s="245"/>
      <c r="D159" s="245"/>
      <c r="E159" s="245">
        <v>47300</v>
      </c>
      <c r="F159" s="245"/>
      <c r="G159" s="245"/>
      <c r="H159" s="102"/>
    </row>
    <row r="160" spans="2:8" ht="11.25" customHeight="1" x14ac:dyDescent="0.25">
      <c r="B160" s="99" t="s">
        <v>845</v>
      </c>
      <c r="C160" s="245"/>
      <c r="D160" s="245"/>
      <c r="E160" s="245">
        <v>52785</v>
      </c>
      <c r="F160" s="245"/>
      <c r="G160" s="245"/>
      <c r="H160" s="102"/>
    </row>
    <row r="161" spans="1:8" ht="11.25" customHeight="1" x14ac:dyDescent="0.25">
      <c r="B161" s="99" t="s">
        <v>839</v>
      </c>
      <c r="C161" s="245"/>
      <c r="D161" s="245">
        <v>36790</v>
      </c>
      <c r="E161" s="245">
        <f>3000+37630+5140+7906+6</f>
        <v>53682</v>
      </c>
      <c r="F161" s="245"/>
      <c r="G161" s="245"/>
      <c r="H161" s="102"/>
    </row>
    <row r="162" spans="1:8" ht="11.25" customHeight="1" x14ac:dyDescent="0.25">
      <c r="B162" s="99"/>
      <c r="C162" s="245"/>
      <c r="D162" s="245"/>
      <c r="E162" s="245"/>
      <c r="F162" s="245"/>
      <c r="G162" s="245"/>
      <c r="H162" s="102"/>
    </row>
    <row r="163" spans="1:8" ht="11.25" customHeight="1" x14ac:dyDescent="0.25">
      <c r="B163" s="99"/>
      <c r="C163" s="245"/>
      <c r="D163" s="245"/>
      <c r="E163" s="245"/>
      <c r="F163" s="245"/>
      <c r="G163" s="245"/>
      <c r="H163" s="102"/>
    </row>
    <row r="164" spans="1:8" x14ac:dyDescent="0.25">
      <c r="B164" s="243" t="s">
        <v>832</v>
      </c>
      <c r="C164" s="244">
        <f>C83-C104</f>
        <v>76832.959999999992</v>
      </c>
      <c r="D164" s="244">
        <f>D83-D104</f>
        <v>-66946</v>
      </c>
      <c r="E164" s="244">
        <f>E83-E104</f>
        <v>174003</v>
      </c>
      <c r="F164" s="244"/>
      <c r="G164" s="244"/>
      <c r="H164" s="102"/>
    </row>
    <row r="165" spans="1:8" x14ac:dyDescent="0.25">
      <c r="B165" s="243" t="s">
        <v>831</v>
      </c>
      <c r="C165" s="244">
        <f>C93-C133</f>
        <v>-49136.73000000001</v>
      </c>
      <c r="D165" s="244">
        <f>D93-D133</f>
        <v>-158744</v>
      </c>
      <c r="E165" s="244">
        <f>E93-E133</f>
        <v>-367257</v>
      </c>
      <c r="F165" s="244"/>
      <c r="G165" s="244"/>
      <c r="H165" s="102"/>
    </row>
    <row r="166" spans="1:8" x14ac:dyDescent="0.25">
      <c r="A166" s="10"/>
      <c r="B166" s="238"/>
      <c r="C166" s="238"/>
      <c r="D166" s="238"/>
      <c r="E166" s="238"/>
      <c r="F166" s="238"/>
      <c r="G166" s="238"/>
      <c r="H166" s="238"/>
    </row>
    <row r="167" spans="1:8" x14ac:dyDescent="0.25">
      <c r="B167" s="102"/>
      <c r="C167" s="102"/>
      <c r="D167" s="102"/>
      <c r="E167" s="102"/>
      <c r="F167" s="102"/>
      <c r="G167" s="102"/>
      <c r="H167" s="102"/>
    </row>
    <row r="168" spans="1:8" x14ac:dyDescent="0.25">
      <c r="B168" s="103" t="s">
        <v>871</v>
      </c>
      <c r="C168" s="102"/>
      <c r="D168" s="102"/>
      <c r="E168" s="102"/>
      <c r="F168" s="102"/>
      <c r="G168" s="102"/>
      <c r="H168" s="102"/>
    </row>
    <row r="169" spans="1:8" x14ac:dyDescent="0.25">
      <c r="B169" s="102"/>
      <c r="C169" s="102"/>
      <c r="D169" s="102"/>
      <c r="E169" s="102"/>
      <c r="F169" s="102"/>
      <c r="G169" s="102"/>
      <c r="H169" s="102"/>
    </row>
    <row r="170" spans="1:8" x14ac:dyDescent="0.25">
      <c r="B170" s="99" t="s">
        <v>64</v>
      </c>
      <c r="C170" s="245">
        <v>510821</v>
      </c>
      <c r="D170" s="245">
        <v>471983</v>
      </c>
      <c r="E170" s="245">
        <v>352746</v>
      </c>
      <c r="F170" s="239"/>
      <c r="G170" s="239"/>
      <c r="H170" s="102"/>
    </row>
    <row r="171" spans="1:8" x14ac:dyDescent="0.25">
      <c r="B171" s="99" t="s">
        <v>675</v>
      </c>
      <c r="C171" s="245">
        <v>0</v>
      </c>
      <c r="D171" s="245">
        <v>0</v>
      </c>
      <c r="E171" s="245">
        <v>184082</v>
      </c>
      <c r="F171" s="239"/>
      <c r="G171" s="239"/>
      <c r="H171" s="102"/>
    </row>
    <row r="172" spans="1:8" x14ac:dyDescent="0.25">
      <c r="B172" s="99" t="s">
        <v>676</v>
      </c>
      <c r="C172" s="245">
        <v>510821</v>
      </c>
      <c r="D172" s="245">
        <v>471983</v>
      </c>
      <c r="E172" s="245">
        <v>168664</v>
      </c>
      <c r="F172" s="239"/>
      <c r="G172" s="239"/>
      <c r="H172" s="102"/>
    </row>
    <row r="173" spans="1:8" x14ac:dyDescent="0.25">
      <c r="B173" s="102"/>
      <c r="C173" s="239"/>
      <c r="D173" s="239"/>
      <c r="E173" s="239"/>
      <c r="F173" s="239"/>
      <c r="G173" s="239"/>
      <c r="H173" s="102"/>
    </row>
    <row r="174" spans="1:8" x14ac:dyDescent="0.25">
      <c r="B174" s="103" t="s">
        <v>872</v>
      </c>
      <c r="C174" s="239"/>
      <c r="D174" s="239"/>
      <c r="E174" s="239"/>
      <c r="F174" s="239"/>
      <c r="G174" s="239"/>
      <c r="H174" s="102"/>
    </row>
    <row r="175" spans="1:8" x14ac:dyDescent="0.25">
      <c r="B175" s="102"/>
      <c r="C175" s="239"/>
      <c r="D175" s="239"/>
      <c r="E175" s="239"/>
      <c r="F175" s="239"/>
      <c r="G175" s="239"/>
      <c r="H175" s="102"/>
    </row>
    <row r="176" spans="1:8" x14ac:dyDescent="0.25">
      <c r="B176" s="99" t="s">
        <v>64</v>
      </c>
      <c r="C176" s="245">
        <v>433988</v>
      </c>
      <c r="D176" s="245">
        <v>538930</v>
      </c>
      <c r="E176" s="245">
        <v>88993</v>
      </c>
      <c r="F176" s="239"/>
      <c r="G176" s="239"/>
      <c r="H176" s="102"/>
    </row>
    <row r="177" spans="1:8" x14ac:dyDescent="0.25">
      <c r="B177" s="99" t="s">
        <v>675</v>
      </c>
      <c r="C177" s="245">
        <v>0</v>
      </c>
      <c r="D177" s="245">
        <v>0</v>
      </c>
      <c r="E177" s="245">
        <v>94332</v>
      </c>
      <c r="F177" s="239"/>
      <c r="G177" s="239"/>
      <c r="H177" s="102"/>
    </row>
    <row r="178" spans="1:8" x14ac:dyDescent="0.25">
      <c r="B178" s="99" t="s">
        <v>676</v>
      </c>
      <c r="C178" s="245">
        <v>433988</v>
      </c>
      <c r="D178" s="245">
        <v>471983</v>
      </c>
      <c r="E178" s="245">
        <f>E177-E176</f>
        <v>5339</v>
      </c>
      <c r="F178" s="239"/>
      <c r="G178" s="239"/>
      <c r="H178" s="102"/>
    </row>
    <row r="179" spans="1:8" x14ac:dyDescent="0.25">
      <c r="B179" s="102"/>
      <c r="C179" s="102"/>
      <c r="D179" s="102"/>
      <c r="E179" s="102"/>
      <c r="F179" s="102"/>
      <c r="G179" s="102"/>
      <c r="H179" s="102"/>
    </row>
    <row r="180" spans="1:8" x14ac:dyDescent="0.25">
      <c r="A180" s="13" t="s">
        <v>364</v>
      </c>
      <c r="B180" s="5" t="s">
        <v>848</v>
      </c>
    </row>
    <row r="181" spans="1:8" ht="39.75" customHeight="1" x14ac:dyDescent="0.25">
      <c r="B181" s="160" t="s">
        <v>849</v>
      </c>
      <c r="C181" s="160"/>
      <c r="D181" s="160"/>
      <c r="E181" s="160"/>
      <c r="F181" s="160"/>
      <c r="G181" s="160"/>
      <c r="H181" s="160"/>
    </row>
    <row r="182" spans="1:8" ht="4.5" customHeight="1" x14ac:dyDescent="0.25">
      <c r="H182" s="102"/>
    </row>
    <row r="183" spans="1:8" x14ac:dyDescent="0.25">
      <c r="B183" s="160" t="s">
        <v>850</v>
      </c>
      <c r="C183" s="160"/>
      <c r="D183" s="160"/>
      <c r="E183" s="160"/>
      <c r="F183" s="160"/>
      <c r="G183" s="160"/>
      <c r="H183" s="160"/>
    </row>
    <row r="184" spans="1:8" ht="15" customHeight="1" x14ac:dyDescent="0.25">
      <c r="A184" s="248" t="s">
        <v>453</v>
      </c>
      <c r="B184" s="249" t="s">
        <v>851</v>
      </c>
      <c r="C184" s="249"/>
      <c r="D184" s="249"/>
      <c r="E184" s="249"/>
      <c r="F184" s="249"/>
      <c r="G184" s="65"/>
      <c r="H184" s="250">
        <f>SOFP!H22</f>
        <v>2910</v>
      </c>
    </row>
    <row r="185" spans="1:8" x14ac:dyDescent="0.25">
      <c r="A185" s="248" t="s">
        <v>852</v>
      </c>
      <c r="B185" s="249" t="s">
        <v>853</v>
      </c>
      <c r="C185" s="249"/>
      <c r="D185" s="249"/>
      <c r="E185" s="249"/>
      <c r="F185" s="249"/>
      <c r="G185" s="65"/>
      <c r="H185" s="250">
        <f>(75+74)*12+(50)</f>
        <v>1838</v>
      </c>
    </row>
    <row r="186" spans="1:8" x14ac:dyDescent="0.25">
      <c r="A186" s="248" t="s">
        <v>854</v>
      </c>
      <c r="B186" s="249" t="s">
        <v>855</v>
      </c>
      <c r="C186" s="249"/>
      <c r="D186" s="249"/>
      <c r="E186" s="249"/>
      <c r="F186" s="249"/>
      <c r="G186" s="65"/>
      <c r="H186" s="250">
        <f>((75+74)*12+(50))*1.065</f>
        <v>1957.4699999999998</v>
      </c>
    </row>
    <row r="187" spans="1:8" x14ac:dyDescent="0.25">
      <c r="B187" s="65"/>
      <c r="C187" s="65"/>
      <c r="D187" s="65"/>
      <c r="E187" s="65"/>
      <c r="F187" s="65"/>
      <c r="G187" s="65"/>
      <c r="H187" s="251">
        <f>SUM(H184:H186)</f>
        <v>6705.4699999999993</v>
      </c>
    </row>
    <row r="188" spans="1:8" x14ac:dyDescent="0.25">
      <c r="B188" s="160"/>
      <c r="C188" s="160"/>
      <c r="D188" s="160"/>
      <c r="E188" s="160"/>
      <c r="F188" s="160"/>
      <c r="G188" s="160"/>
      <c r="H188" s="160"/>
    </row>
    <row r="189" spans="1:8" ht="27" customHeight="1" x14ac:dyDescent="0.25">
      <c r="B189" s="160" t="s">
        <v>856</v>
      </c>
      <c r="C189" s="160"/>
      <c r="D189" s="160"/>
      <c r="E189" s="160"/>
      <c r="F189" s="160"/>
      <c r="G189" s="160"/>
      <c r="H189" s="160"/>
    </row>
    <row r="190" spans="1:8" ht="4.5" customHeight="1" x14ac:dyDescent="0.25">
      <c r="B190" s="160"/>
      <c r="C190" s="160"/>
      <c r="D190" s="160"/>
      <c r="E190" s="160"/>
      <c r="F190" s="160"/>
      <c r="G190" s="160"/>
      <c r="H190" s="160"/>
    </row>
    <row r="191" spans="1:8" ht="62.25" customHeight="1" x14ac:dyDescent="0.25">
      <c r="B191" s="160" t="s">
        <v>857</v>
      </c>
      <c r="C191" s="160"/>
      <c r="D191" s="160"/>
      <c r="E191" s="160"/>
      <c r="F191" s="160"/>
      <c r="G191" s="160"/>
      <c r="H191" s="160"/>
    </row>
  </sheetData>
  <mergeCells count="35">
    <mergeCell ref="B188:H188"/>
    <mergeCell ref="B189:H189"/>
    <mergeCell ref="B190:H190"/>
    <mergeCell ref="B191:H191"/>
    <mergeCell ref="B181:H181"/>
    <mergeCell ref="B183:H183"/>
    <mergeCell ref="B184:F184"/>
    <mergeCell ref="B185:F185"/>
    <mergeCell ref="B186:F186"/>
    <mergeCell ref="B43:H43"/>
    <mergeCell ref="B45:H45"/>
    <mergeCell ref="B47:H47"/>
    <mergeCell ref="B63:H63"/>
    <mergeCell ref="B50:H50"/>
    <mergeCell ref="B59:H59"/>
    <mergeCell ref="B60:H60"/>
    <mergeCell ref="B18:H18"/>
    <mergeCell ref="B32:H32"/>
    <mergeCell ref="B35:H35"/>
    <mergeCell ref="B3:H3"/>
    <mergeCell ref="B8:H8"/>
    <mergeCell ref="B10:H10"/>
    <mergeCell ref="B12:H12"/>
    <mergeCell ref="B14:H14"/>
    <mergeCell ref="B16:H16"/>
    <mergeCell ref="B74:H74"/>
    <mergeCell ref="B79:H79"/>
    <mergeCell ref="B67:H67"/>
    <mergeCell ref="B52:H52"/>
    <mergeCell ref="B54:H54"/>
    <mergeCell ref="B56:H56"/>
    <mergeCell ref="B64:H64"/>
    <mergeCell ref="B72:H72"/>
    <mergeCell ref="B76:H76"/>
    <mergeCell ref="B65:H65"/>
  </mergeCells>
  <pageMargins left="0.39370078740157483" right="0.39370078740157483" top="0.74803149606299213" bottom="0.74803149606299213" header="0.31496062992125984" footer="0.31496062992125984"/>
  <pageSetup paperSize="9" firstPageNumber="5" orientation="portrait" useFirstPageNumber="1" r:id="rId1"/>
  <headerFooter>
    <oddHeader>&amp;L&amp;"-,Bold"GAUTENG CYCLING ASSOCIATION
Annual financial statements for the year ended 31 December 2017
Notes to the annual financial statements</oddHeader>
    <oddFooter>&amp;CPage &amp;P</oddFooter>
  </headerFooter>
  <customProperties>
    <customPr name="_pios_id" r:id="rId2"/>
  </customProperties>
  <ignoredErrors>
    <ignoredError sqref="A5 A34 A35"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1:K26"/>
  <sheetViews>
    <sheetView view="pageLayout" topLeftCell="A16" zoomScaleNormal="100" workbookViewId="0">
      <selection activeCell="F17" sqref="F17"/>
    </sheetView>
  </sheetViews>
  <sheetFormatPr defaultRowHeight="15" x14ac:dyDescent="0.25"/>
  <cols>
    <col min="1" max="1" width="2.7109375" customWidth="1"/>
    <col min="5" max="5" width="33.7109375" customWidth="1"/>
    <col min="7" max="7" width="2.140625" style="63" customWidth="1"/>
    <col min="8" max="8" width="8.7109375" style="63" customWidth="1"/>
    <col min="9" max="9" width="2.140625" customWidth="1"/>
    <col min="10" max="10" width="8.7109375" customWidth="1"/>
  </cols>
  <sheetData>
    <row r="1" spans="1:11" x14ac:dyDescent="0.25">
      <c r="A1" s="1"/>
      <c r="B1" s="1"/>
      <c r="C1" s="1"/>
      <c r="D1" s="1"/>
      <c r="E1" s="1"/>
      <c r="F1" s="1"/>
      <c r="G1" s="1"/>
      <c r="H1" s="1"/>
      <c r="I1" s="1"/>
      <c r="J1" s="1"/>
      <c r="K1" s="14"/>
    </row>
    <row r="2" spans="1:11" x14ac:dyDescent="0.25">
      <c r="A2" s="51" t="s">
        <v>53</v>
      </c>
      <c r="B2" s="51"/>
      <c r="C2" s="51"/>
      <c r="D2" s="51"/>
      <c r="E2" s="51"/>
      <c r="F2" s="52" t="s">
        <v>54</v>
      </c>
      <c r="G2" s="52"/>
      <c r="H2" s="66">
        <v>2017</v>
      </c>
      <c r="I2" s="51"/>
      <c r="J2" s="53">
        <v>2016</v>
      </c>
    </row>
    <row r="4" spans="1:11" x14ac:dyDescent="0.25">
      <c r="A4" s="7" t="s">
        <v>63</v>
      </c>
    </row>
    <row r="5" spans="1:11" ht="6" customHeight="1" x14ac:dyDescent="0.25">
      <c r="A5" s="7"/>
    </row>
    <row r="6" spans="1:11" x14ac:dyDescent="0.25">
      <c r="A6" s="7" t="s">
        <v>55</v>
      </c>
    </row>
    <row r="7" spans="1:11" ht="6" customHeight="1" x14ac:dyDescent="0.25"/>
    <row r="8" spans="1:11" x14ac:dyDescent="0.25">
      <c r="B8" s="46" t="s">
        <v>56</v>
      </c>
      <c r="C8" s="46"/>
      <c r="D8" s="46"/>
      <c r="E8" s="46"/>
      <c r="F8" s="46">
        <v>2</v>
      </c>
      <c r="G8" s="46"/>
      <c r="H8" s="50">
        <f>GC_TB_2017!G6</f>
        <v>406</v>
      </c>
      <c r="I8" s="50"/>
      <c r="J8" s="94">
        <f>GC_TB_2016!G6</f>
        <v>12001</v>
      </c>
    </row>
    <row r="9" spans="1:11" x14ac:dyDescent="0.25">
      <c r="B9" s="46" t="s">
        <v>57</v>
      </c>
      <c r="C9" s="46"/>
      <c r="D9" s="46"/>
      <c r="E9" s="46"/>
      <c r="F9" s="46">
        <v>3</v>
      </c>
      <c r="G9" s="46"/>
      <c r="H9" s="49">
        <f>GC_TB_2017!G5</f>
        <v>0</v>
      </c>
      <c r="I9" s="50"/>
      <c r="J9" s="104">
        <f>GC_TB_2016!G5</f>
        <v>0</v>
      </c>
    </row>
    <row r="10" spans="1:11" x14ac:dyDescent="0.25">
      <c r="B10" s="46"/>
      <c r="C10" s="46"/>
      <c r="D10" s="46"/>
      <c r="E10" s="46"/>
      <c r="F10" s="46"/>
      <c r="G10" s="46"/>
      <c r="H10" s="50">
        <f>SUM(H8:H9)</f>
        <v>406</v>
      </c>
      <c r="I10" s="50"/>
      <c r="J10" s="94">
        <f>SUM(J8:J9)</f>
        <v>12001</v>
      </c>
    </row>
    <row r="11" spans="1:11" ht="6" customHeight="1" x14ac:dyDescent="0.25">
      <c r="B11" s="46"/>
      <c r="C11" s="46"/>
      <c r="D11" s="46"/>
      <c r="E11" s="46"/>
      <c r="F11" s="46"/>
      <c r="G11" s="46"/>
      <c r="H11" s="50"/>
      <c r="I11" s="50"/>
      <c r="J11" s="94"/>
    </row>
    <row r="12" spans="1:11" ht="15.75" thickBot="1" x14ac:dyDescent="0.3">
      <c r="A12" s="7" t="s">
        <v>64</v>
      </c>
      <c r="H12" s="67">
        <f>H10</f>
        <v>406</v>
      </c>
      <c r="I12" s="17"/>
      <c r="J12" s="105">
        <f>J10</f>
        <v>12001</v>
      </c>
    </row>
    <row r="13" spans="1:11" ht="15.75" thickTop="1" x14ac:dyDescent="0.25">
      <c r="H13" s="17"/>
      <c r="I13" s="17"/>
      <c r="J13" s="94"/>
    </row>
    <row r="14" spans="1:11" x14ac:dyDescent="0.25">
      <c r="A14" s="7" t="s">
        <v>65</v>
      </c>
      <c r="H14" s="17"/>
      <c r="I14" s="17"/>
      <c r="J14" s="94"/>
    </row>
    <row r="15" spans="1:11" ht="6" customHeight="1" x14ac:dyDescent="0.25">
      <c r="H15" s="17"/>
      <c r="I15" s="17"/>
      <c r="J15" s="94"/>
    </row>
    <row r="16" spans="1:11" x14ac:dyDescent="0.25">
      <c r="A16" s="7" t="s">
        <v>58</v>
      </c>
      <c r="H16" s="17"/>
      <c r="I16" s="17"/>
      <c r="J16" s="94"/>
    </row>
    <row r="17" spans="1:10" x14ac:dyDescent="0.25">
      <c r="B17" s="46" t="s">
        <v>596</v>
      </c>
      <c r="H17" s="104">
        <f>-GC_TB_2017!G4+SOCI!H18</f>
        <v>-2504</v>
      </c>
      <c r="I17" s="17"/>
      <c r="J17" s="104">
        <f>SOCE!J8</f>
        <v>-841</v>
      </c>
    </row>
    <row r="18" spans="1:10" ht="6" customHeight="1" x14ac:dyDescent="0.25">
      <c r="H18" s="17"/>
      <c r="I18" s="17"/>
      <c r="J18" s="94"/>
    </row>
    <row r="19" spans="1:10" x14ac:dyDescent="0.25">
      <c r="A19" s="7" t="s">
        <v>59</v>
      </c>
      <c r="H19" s="17"/>
      <c r="I19" s="17"/>
      <c r="J19" s="94"/>
    </row>
    <row r="20" spans="1:10" ht="6" customHeight="1" x14ac:dyDescent="0.25">
      <c r="A20" s="7"/>
      <c r="H20" s="17"/>
      <c r="I20" s="17"/>
      <c r="J20" s="94"/>
    </row>
    <row r="21" spans="1:10" x14ac:dyDescent="0.25">
      <c r="A21" s="7" t="s">
        <v>66</v>
      </c>
      <c r="H21" s="17"/>
      <c r="I21" s="17"/>
      <c r="J21" s="94"/>
    </row>
    <row r="22" spans="1:10" x14ac:dyDescent="0.25">
      <c r="B22" s="46" t="s">
        <v>60</v>
      </c>
      <c r="F22" s="46">
        <v>4</v>
      </c>
      <c r="H22" s="49">
        <f>-GC_TB_2017!G7</f>
        <v>2910</v>
      </c>
      <c r="I22" s="17"/>
      <c r="J22" s="104">
        <f>-GC_TB_2016!G7</f>
        <v>12842</v>
      </c>
    </row>
    <row r="23" spans="1:10" x14ac:dyDescent="0.25">
      <c r="H23" s="17"/>
      <c r="I23" s="17"/>
      <c r="J23" s="94"/>
    </row>
    <row r="24" spans="1:10" ht="6" customHeight="1" x14ac:dyDescent="0.25">
      <c r="H24" s="17"/>
      <c r="I24" s="17"/>
      <c r="J24" s="94"/>
    </row>
    <row r="25" spans="1:10" ht="15.75" thickBot="1" x14ac:dyDescent="0.3">
      <c r="A25" s="7" t="s">
        <v>67</v>
      </c>
      <c r="H25" s="67">
        <f>H17+H22</f>
        <v>406</v>
      </c>
      <c r="I25" s="17"/>
      <c r="J25" s="105">
        <f>J17+J22</f>
        <v>12001</v>
      </c>
    </row>
    <row r="26" spans="1:10" ht="15.75" thickTop="1" x14ac:dyDescent="0.25">
      <c r="J26" s="83"/>
    </row>
  </sheetData>
  <pageMargins left="0.39370078740157483" right="0.39370078740157483" top="0.74803149606299213" bottom="0.74803149606299213" header="0.31496062992125984" footer="0.31496062992125984"/>
  <pageSetup paperSize="9" firstPageNumber="8" orientation="portrait" useFirstPageNumber="1" r:id="rId1"/>
  <headerFooter>
    <oddHeader>&amp;L&amp;"-,Bold"GAUTENG CYCLING ASSOCIATION
Annual financial statements for the year ended 31 December 2017
Notes to the annual financial statements</oddHeader>
    <oddFooter>&amp;CPage &amp;P</oddFooter>
  </headerFooter>
  <customProperties>
    <customPr name="_pios_id" r:id="rId2"/>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1:J19"/>
  <sheetViews>
    <sheetView view="pageLayout" topLeftCell="A34" zoomScaleNormal="100" workbookViewId="0">
      <selection activeCell="F17" sqref="F17"/>
    </sheetView>
  </sheetViews>
  <sheetFormatPr defaultRowHeight="15" x14ac:dyDescent="0.25"/>
  <cols>
    <col min="1" max="1" width="2.7109375" customWidth="1"/>
    <col min="5" max="5" width="28.7109375" customWidth="1"/>
    <col min="7" max="7" width="2.140625" style="63" customWidth="1"/>
    <col min="8" max="8" width="11.42578125" style="63" customWidth="1"/>
    <col min="9" max="9" width="2.140625" customWidth="1"/>
    <col min="10" max="10" width="11.42578125" customWidth="1"/>
  </cols>
  <sheetData>
    <row r="1" spans="1:10" x14ac:dyDescent="0.25">
      <c r="A1" s="1"/>
      <c r="B1" s="1"/>
      <c r="C1" s="1"/>
      <c r="D1" s="1"/>
      <c r="E1" s="1"/>
      <c r="F1" s="1"/>
      <c r="G1" s="1"/>
      <c r="H1" s="1"/>
      <c r="I1" s="1"/>
      <c r="J1" s="1"/>
    </row>
    <row r="2" spans="1:10" x14ac:dyDescent="0.25">
      <c r="A2" s="51" t="s">
        <v>53</v>
      </c>
      <c r="B2" s="51"/>
      <c r="C2" s="51"/>
      <c r="D2" s="51"/>
      <c r="E2" s="51"/>
      <c r="F2" s="52" t="s">
        <v>54</v>
      </c>
      <c r="G2" s="52"/>
      <c r="H2" s="53">
        <v>2017</v>
      </c>
      <c r="I2" s="51"/>
      <c r="J2" s="53">
        <v>2016</v>
      </c>
    </row>
    <row r="4" spans="1:10" x14ac:dyDescent="0.25">
      <c r="A4" s="46" t="s">
        <v>61</v>
      </c>
      <c r="B4" s="46"/>
      <c r="C4" s="46"/>
      <c r="D4" s="46"/>
      <c r="E4" s="46"/>
      <c r="F4" s="47" t="s">
        <v>32</v>
      </c>
      <c r="G4" s="47"/>
      <c r="H4" s="93">
        <f>-GC_TB_2017!G9</f>
        <v>18000</v>
      </c>
      <c r="I4" s="50"/>
      <c r="J4" s="94">
        <f>-GC_TB_2016!G9</f>
        <v>36247</v>
      </c>
    </row>
    <row r="5" spans="1:10" ht="6" customHeight="1" x14ac:dyDescent="0.25">
      <c r="A5" s="46"/>
      <c r="B5" s="46"/>
      <c r="C5" s="46"/>
      <c r="D5" s="46"/>
      <c r="E5" s="46"/>
      <c r="F5" s="46"/>
      <c r="G5" s="46"/>
      <c r="H5" s="50"/>
      <c r="I5" s="50"/>
      <c r="J5" s="94"/>
    </row>
    <row r="6" spans="1:10" ht="15" customHeight="1" x14ac:dyDescent="0.25">
      <c r="A6" s="46" t="s">
        <v>597</v>
      </c>
      <c r="B6" s="46"/>
      <c r="C6" s="46"/>
      <c r="D6" s="46"/>
      <c r="E6" s="46"/>
      <c r="F6" s="46">
        <v>6</v>
      </c>
      <c r="G6" s="46"/>
      <c r="H6" s="50">
        <f>GC_TB_2017!G11</f>
        <v>18000</v>
      </c>
      <c r="I6" s="50"/>
      <c r="J6" s="94">
        <f>GC_TB_2016!G11</f>
        <v>36247</v>
      </c>
    </row>
    <row r="7" spans="1:10" ht="6" customHeight="1" x14ac:dyDescent="0.25">
      <c r="A7" s="46"/>
      <c r="B7" s="46"/>
      <c r="C7" s="46"/>
      <c r="D7" s="46"/>
      <c r="E7" s="46"/>
      <c r="F7" s="46"/>
      <c r="G7" s="46"/>
      <c r="H7" s="50"/>
      <c r="I7" s="50"/>
      <c r="J7" s="94"/>
    </row>
    <row r="8" spans="1:10" ht="15" customHeight="1" x14ac:dyDescent="0.25">
      <c r="A8" s="48" t="s">
        <v>68</v>
      </c>
      <c r="B8" s="48"/>
      <c r="C8" s="48"/>
      <c r="D8" s="48"/>
      <c r="E8" s="48"/>
      <c r="F8" s="48"/>
      <c r="G8" s="48"/>
      <c r="H8" s="95">
        <f>H4-H6</f>
        <v>0</v>
      </c>
      <c r="I8" s="96"/>
      <c r="J8" s="97">
        <f>J4-J6</f>
        <v>0</v>
      </c>
    </row>
    <row r="9" spans="1:10" ht="6.75" customHeight="1" x14ac:dyDescent="0.25">
      <c r="A9" s="46"/>
      <c r="B9" s="46"/>
      <c r="C9" s="46"/>
      <c r="D9" s="46"/>
      <c r="E9" s="46"/>
      <c r="F9" s="46"/>
      <c r="G9" s="46"/>
      <c r="H9" s="50"/>
      <c r="I9" s="50"/>
      <c r="J9" s="94"/>
    </row>
    <row r="10" spans="1:10" x14ac:dyDescent="0.25">
      <c r="A10" s="46" t="s">
        <v>62</v>
      </c>
      <c r="B10" s="46"/>
      <c r="C10" s="46"/>
      <c r="D10" s="46"/>
      <c r="E10" s="46"/>
      <c r="F10" s="46">
        <v>7</v>
      </c>
      <c r="G10" s="46"/>
      <c r="H10" s="50">
        <v>0</v>
      </c>
      <c r="I10" s="50"/>
      <c r="J10" s="94">
        <v>0</v>
      </c>
    </row>
    <row r="11" spans="1:10" ht="6" customHeight="1" x14ac:dyDescent="0.25">
      <c r="A11" s="46"/>
      <c r="B11" s="46"/>
      <c r="C11" s="46"/>
      <c r="D11" s="46"/>
      <c r="E11" s="46"/>
      <c r="F11" s="46"/>
      <c r="G11" s="46"/>
      <c r="H11" s="50"/>
      <c r="I11" s="50"/>
      <c r="J11" s="94"/>
    </row>
    <row r="12" spans="1:10" x14ac:dyDescent="0.25">
      <c r="A12" s="46" t="s">
        <v>165</v>
      </c>
      <c r="B12" s="46"/>
      <c r="C12" s="46"/>
      <c r="D12" s="46"/>
      <c r="E12" s="46"/>
      <c r="F12" s="46">
        <v>8</v>
      </c>
      <c r="G12" s="46"/>
      <c r="H12" s="50">
        <f>GC_TB_2017!G14</f>
        <v>1662</v>
      </c>
      <c r="I12" s="50"/>
      <c r="J12" s="94">
        <f>GC_TB_2016!G14</f>
        <v>841</v>
      </c>
    </row>
    <row r="13" spans="1:10" ht="6" customHeight="1" x14ac:dyDescent="0.25">
      <c r="A13" s="46"/>
      <c r="B13" s="46"/>
      <c r="C13" s="46"/>
      <c r="D13" s="46"/>
      <c r="E13" s="46"/>
      <c r="F13" s="46"/>
      <c r="G13" s="46"/>
      <c r="H13" s="50"/>
      <c r="I13" s="50"/>
      <c r="J13" s="94"/>
    </row>
    <row r="14" spans="1:10" s="63" customFormat="1" ht="15" customHeight="1" x14ac:dyDescent="0.25">
      <c r="A14" s="46" t="s">
        <v>393</v>
      </c>
      <c r="B14" s="46"/>
      <c r="C14" s="46"/>
      <c r="D14" s="46"/>
      <c r="E14" s="46"/>
      <c r="F14" s="83">
        <v>9</v>
      </c>
      <c r="G14" s="46"/>
      <c r="H14" s="50">
        <v>0</v>
      </c>
      <c r="I14" s="50"/>
      <c r="J14" s="94">
        <v>0</v>
      </c>
    </row>
    <row r="15" spans="1:10" s="63" customFormat="1" ht="6" customHeight="1" x14ac:dyDescent="0.25">
      <c r="A15" s="46"/>
      <c r="B15" s="46"/>
      <c r="C15" s="46"/>
      <c r="D15" s="46"/>
      <c r="E15" s="46"/>
      <c r="F15" s="46"/>
      <c r="G15" s="46"/>
      <c r="H15" s="50"/>
      <c r="I15" s="50"/>
      <c r="J15" s="94"/>
    </row>
    <row r="16" spans="1:10" x14ac:dyDescent="0.25">
      <c r="A16" s="46" t="s">
        <v>70</v>
      </c>
      <c r="B16" s="46"/>
      <c r="C16" s="46"/>
      <c r="D16" s="46"/>
      <c r="E16" s="46"/>
      <c r="F16" s="46"/>
      <c r="G16" s="46"/>
      <c r="H16" s="50">
        <f>GC_TB_2017!G15</f>
        <v>1</v>
      </c>
      <c r="I16" s="50"/>
      <c r="J16" s="94">
        <v>0</v>
      </c>
    </row>
    <row r="17" spans="1:10" ht="6" customHeight="1" x14ac:dyDescent="0.25">
      <c r="A17" s="46"/>
      <c r="B17" s="46"/>
      <c r="C17" s="46"/>
      <c r="D17" s="46"/>
      <c r="E17" s="46"/>
      <c r="F17" s="46"/>
      <c r="G17" s="46"/>
      <c r="H17" s="50"/>
      <c r="I17" s="50"/>
      <c r="J17" s="94"/>
    </row>
    <row r="18" spans="1:10" ht="15.75" thickBot="1" x14ac:dyDescent="0.3">
      <c r="A18" s="48" t="s">
        <v>595</v>
      </c>
      <c r="B18" s="48"/>
      <c r="C18" s="48"/>
      <c r="D18" s="48"/>
      <c r="E18" s="48"/>
      <c r="F18" s="48"/>
      <c r="G18" s="48"/>
      <c r="H18" s="57">
        <f>H8+H10-H12-H13-H14-H16</f>
        <v>-1663</v>
      </c>
      <c r="I18" s="96"/>
      <c r="J18" s="98">
        <f>J8+J10-J12-J13-J16</f>
        <v>-841</v>
      </c>
    </row>
    <row r="19" spans="1:10" x14ac:dyDescent="0.25">
      <c r="J19" s="61"/>
    </row>
  </sheetData>
  <pageMargins left="0.39370078740157483" right="0.39370078740157483" top="0.74803149606299213" bottom="0.74803149606299213" header="0.31496062992125984" footer="0.31496062992125984"/>
  <pageSetup paperSize="9" firstPageNumber="9" orientation="portrait" useFirstPageNumber="1" r:id="rId1"/>
  <headerFooter>
    <oddHeader>&amp;L&amp;"-,Bold"GAUTENG CYCLING ASSOCIATION
Annual financial statements for the year ended 31 December 2017
Notes to the annual financial statements</oddHeader>
    <oddFooter>&amp;CPage &amp;P</oddFooter>
  </headerFooter>
  <customProperties>
    <customPr name="_pios_id" r:id="rId2"/>
  </customProperties>
  <ignoredErrors>
    <ignoredError sqref="F4"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1:K15"/>
  <sheetViews>
    <sheetView view="pageLayout" topLeftCell="A25" zoomScaleNormal="100" workbookViewId="0">
      <selection activeCell="F17" sqref="F17"/>
    </sheetView>
  </sheetViews>
  <sheetFormatPr defaultRowHeight="15" x14ac:dyDescent="0.25"/>
  <cols>
    <col min="1" max="1" width="2.7109375" customWidth="1"/>
    <col min="6" max="6" width="19" customWidth="1"/>
    <col min="7" max="7" width="16.42578125" customWidth="1"/>
    <col min="9" max="9" width="2.140625" customWidth="1"/>
    <col min="10" max="10" width="8.7109375" customWidth="1"/>
  </cols>
  <sheetData>
    <row r="1" spans="1:11" x14ac:dyDescent="0.25">
      <c r="A1" s="1"/>
      <c r="B1" s="1"/>
      <c r="C1" s="1"/>
      <c r="D1" s="1"/>
      <c r="E1" s="1"/>
      <c r="F1" s="1"/>
      <c r="G1" s="1"/>
      <c r="H1" s="1"/>
      <c r="I1" s="1"/>
    </row>
    <row r="2" spans="1:11" ht="30" x14ac:dyDescent="0.25">
      <c r="A2" s="51" t="s">
        <v>53</v>
      </c>
      <c r="B2" s="51"/>
      <c r="C2" s="51"/>
      <c r="D2" s="51"/>
      <c r="E2" s="51"/>
      <c r="F2" s="51"/>
      <c r="G2" s="51"/>
      <c r="H2" s="52" t="s">
        <v>54</v>
      </c>
      <c r="I2" s="51"/>
      <c r="J2" s="53" t="s">
        <v>71</v>
      </c>
      <c r="K2" s="14"/>
    </row>
    <row r="4" spans="1:11" x14ac:dyDescent="0.25">
      <c r="A4" s="100" t="s">
        <v>591</v>
      </c>
      <c r="B4" s="46"/>
      <c r="C4" s="46"/>
      <c r="D4" s="46"/>
      <c r="E4" s="46"/>
      <c r="F4" s="46"/>
      <c r="G4" s="46"/>
      <c r="H4" s="46"/>
      <c r="I4" s="46"/>
      <c r="J4" s="49">
        <v>0</v>
      </c>
    </row>
    <row r="5" spans="1:11" ht="6" customHeight="1" x14ac:dyDescent="0.25">
      <c r="A5" s="46"/>
      <c r="B5" s="46"/>
      <c r="C5" s="46"/>
      <c r="D5" s="46"/>
      <c r="E5" s="46"/>
      <c r="F5" s="46"/>
      <c r="G5" s="46"/>
      <c r="H5" s="46"/>
      <c r="I5" s="46"/>
      <c r="J5" s="50"/>
    </row>
    <row r="6" spans="1:11" x14ac:dyDescent="0.25">
      <c r="A6" s="46" t="s">
        <v>595</v>
      </c>
      <c r="B6" s="46"/>
      <c r="C6" s="46"/>
      <c r="D6" s="46"/>
      <c r="E6" s="46"/>
      <c r="F6" s="46"/>
      <c r="G6" s="46"/>
      <c r="H6" s="46"/>
      <c r="I6" s="46"/>
      <c r="J6" s="49">
        <f>SOCI!J18</f>
        <v>-841</v>
      </c>
    </row>
    <row r="7" spans="1:11" ht="6" customHeight="1" x14ac:dyDescent="0.25">
      <c r="A7" s="46"/>
      <c r="B7" s="46"/>
      <c r="C7" s="46"/>
      <c r="D7" s="46"/>
      <c r="E7" s="46"/>
      <c r="F7" s="46"/>
      <c r="G7" s="46"/>
      <c r="H7" s="46"/>
      <c r="I7" s="46"/>
      <c r="J7" s="50"/>
    </row>
    <row r="8" spans="1:11" ht="15.75" thickBot="1" x14ac:dyDescent="0.3">
      <c r="A8" s="48" t="s">
        <v>592</v>
      </c>
      <c r="B8" s="46"/>
      <c r="C8" s="46"/>
      <c r="D8" s="46"/>
      <c r="E8" s="46"/>
      <c r="F8" s="46"/>
      <c r="G8" s="46"/>
      <c r="H8" s="46"/>
      <c r="I8" s="46"/>
      <c r="J8" s="67">
        <f>J4+J6</f>
        <v>-841</v>
      </c>
    </row>
    <row r="9" spans="1:11" ht="15.75" thickTop="1" x14ac:dyDescent="0.25">
      <c r="J9" s="17"/>
    </row>
    <row r="10" spans="1:11" x14ac:dyDescent="0.25">
      <c r="A10" s="48" t="s">
        <v>593</v>
      </c>
      <c r="J10" s="49">
        <f>J8</f>
        <v>-841</v>
      </c>
    </row>
    <row r="11" spans="1:11" ht="6" customHeight="1" x14ac:dyDescent="0.25">
      <c r="J11" s="17"/>
    </row>
    <row r="12" spans="1:11" x14ac:dyDescent="0.25">
      <c r="A12" s="46" t="s">
        <v>595</v>
      </c>
      <c r="J12" s="49">
        <f>SOCI!H18</f>
        <v>-1663</v>
      </c>
    </row>
    <row r="13" spans="1:11" ht="6" customHeight="1" x14ac:dyDescent="0.25">
      <c r="J13" s="50"/>
    </row>
    <row r="14" spans="1:11" ht="15.75" thickBot="1" x14ac:dyDescent="0.3">
      <c r="A14" s="48" t="s">
        <v>594</v>
      </c>
      <c r="B14" s="7"/>
      <c r="J14" s="67">
        <f>J10+J12</f>
        <v>-2504</v>
      </c>
    </row>
    <row r="15" spans="1:11" ht="15.75" thickTop="1" x14ac:dyDescent="0.25"/>
  </sheetData>
  <pageMargins left="0.39370078740157483" right="0.39370078740157483" top="0.74803149606299213" bottom="0.74803149606299213" header="0.31496062992125984" footer="0.31496062992125984"/>
  <pageSetup paperSize="9" firstPageNumber="10" orientation="portrait" useFirstPageNumber="1" r:id="rId1"/>
  <headerFooter>
    <oddHeader>&amp;L&amp;"-,Bold"GAUTENG CYCLING ASSOCIATION
Annual financial statements for the year ended 31 December 2017
Notes to the annual financial statements</oddHeader>
    <oddFooter>&amp;CPage &amp;P</oddFooter>
  </headerFooter>
  <customProperties>
    <customPr name="_pios_id" r:id="rId2"/>
  </customPropertie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1:J38"/>
  <sheetViews>
    <sheetView view="pageLayout" topLeftCell="A40" zoomScaleNormal="100" workbookViewId="0">
      <selection activeCell="F17" sqref="F17"/>
    </sheetView>
  </sheetViews>
  <sheetFormatPr defaultRowHeight="15" x14ac:dyDescent="0.25"/>
  <cols>
    <col min="1" max="1" width="2.7109375" customWidth="1"/>
    <col min="4" max="4" width="17.28515625" customWidth="1"/>
    <col min="5" max="5" width="20.28515625" customWidth="1"/>
    <col min="6" max="6" width="9.140625" customWidth="1"/>
    <col min="7" max="7" width="2.140625" style="63" customWidth="1"/>
    <col min="8" max="8" width="11.42578125" style="63" customWidth="1"/>
    <col min="9" max="9" width="2.140625" customWidth="1"/>
    <col min="10" max="10" width="11.42578125" customWidth="1"/>
  </cols>
  <sheetData>
    <row r="1" spans="1:10" x14ac:dyDescent="0.25">
      <c r="A1" s="1"/>
      <c r="B1" s="1"/>
      <c r="C1" s="1"/>
      <c r="D1" s="1"/>
      <c r="E1" s="1"/>
      <c r="F1" s="1"/>
      <c r="G1" s="1"/>
      <c r="H1" s="1"/>
      <c r="I1" s="1"/>
      <c r="J1" s="1"/>
    </row>
    <row r="2" spans="1:10" x14ac:dyDescent="0.25">
      <c r="A2" s="51" t="s">
        <v>53</v>
      </c>
      <c r="B2" s="51"/>
      <c r="C2" s="51"/>
      <c r="D2" s="51"/>
      <c r="E2" s="51"/>
      <c r="F2" s="52" t="s">
        <v>54</v>
      </c>
      <c r="G2" s="52"/>
      <c r="H2" s="53">
        <v>2017</v>
      </c>
      <c r="I2" s="51"/>
      <c r="J2" s="53">
        <v>2016</v>
      </c>
    </row>
    <row r="3" spans="1:10" s="21" customFormat="1" x14ac:dyDescent="0.25">
      <c r="A3" s="14"/>
      <c r="B3" s="14"/>
      <c r="C3" s="14"/>
      <c r="D3" s="14"/>
      <c r="E3" s="14"/>
      <c r="F3" s="23"/>
      <c r="G3" s="23"/>
      <c r="H3" s="23"/>
      <c r="I3" s="14"/>
      <c r="J3" s="24"/>
    </row>
    <row r="4" spans="1:10" x14ac:dyDescent="0.25">
      <c r="A4" s="58" t="s">
        <v>72</v>
      </c>
      <c r="H4" s="17"/>
      <c r="I4" s="17"/>
      <c r="J4" s="17"/>
    </row>
    <row r="5" spans="1:10" ht="6" customHeight="1" x14ac:dyDescent="0.25">
      <c r="H5" s="17"/>
      <c r="I5" s="17"/>
      <c r="J5" s="17"/>
    </row>
    <row r="6" spans="1:10" x14ac:dyDescent="0.25">
      <c r="A6" s="46" t="s">
        <v>73</v>
      </c>
      <c r="B6" s="46"/>
      <c r="C6" s="46"/>
      <c r="D6" s="46"/>
      <c r="E6" s="46"/>
      <c r="F6" s="46"/>
      <c r="G6" s="46"/>
      <c r="H6" s="50">
        <f>Workings!D14</f>
        <v>18000</v>
      </c>
      <c r="I6" s="50"/>
      <c r="J6" s="50">
        <f>Workings!D42</f>
        <v>36247</v>
      </c>
    </row>
    <row r="7" spans="1:10" x14ac:dyDescent="0.25">
      <c r="A7" s="46" t="s">
        <v>74</v>
      </c>
      <c r="B7" s="46"/>
      <c r="C7" s="46"/>
      <c r="D7" s="46"/>
      <c r="E7" s="46"/>
      <c r="F7" s="46"/>
      <c r="G7" s="46"/>
      <c r="H7" s="50">
        <f>Workings!D20</f>
        <v>-29594</v>
      </c>
      <c r="I7" s="50"/>
      <c r="J7" s="50">
        <f>Workings!D48</f>
        <v>-24245.530000000002</v>
      </c>
    </row>
    <row r="8" spans="1:10" s="21" customFormat="1" x14ac:dyDescent="0.25">
      <c r="A8" s="46" t="s">
        <v>151</v>
      </c>
      <c r="B8" s="46"/>
      <c r="C8" s="46"/>
      <c r="D8" s="46"/>
      <c r="E8" s="46"/>
      <c r="F8" s="46"/>
      <c r="G8" s="46"/>
      <c r="H8" s="50">
        <v>0</v>
      </c>
      <c r="I8" s="50"/>
      <c r="J8" s="50">
        <v>0</v>
      </c>
    </row>
    <row r="9" spans="1:10" x14ac:dyDescent="0.25">
      <c r="A9" s="46" t="s">
        <v>75</v>
      </c>
      <c r="B9" s="46"/>
      <c r="C9" s="46"/>
      <c r="D9" s="46"/>
      <c r="E9" s="46"/>
      <c r="F9" s="46"/>
      <c r="G9" s="46"/>
      <c r="H9" s="50">
        <f>-SOCI!H16</f>
        <v>-1</v>
      </c>
      <c r="I9" s="50"/>
      <c r="J9" s="50">
        <v>0</v>
      </c>
    </row>
    <row r="10" spans="1:10" x14ac:dyDescent="0.25">
      <c r="A10" s="46" t="s">
        <v>76</v>
      </c>
      <c r="B10" s="46"/>
      <c r="C10" s="46"/>
      <c r="D10" s="46"/>
      <c r="E10" s="46"/>
      <c r="F10" s="46"/>
      <c r="G10" s="46"/>
      <c r="H10" s="50">
        <v>0</v>
      </c>
      <c r="I10" s="50"/>
      <c r="J10" s="50">
        <v>0</v>
      </c>
    </row>
    <row r="11" spans="1:10" ht="6" customHeight="1" x14ac:dyDescent="0.25">
      <c r="H11" s="17"/>
      <c r="I11" s="17"/>
      <c r="J11" s="50"/>
    </row>
    <row r="12" spans="1:10" ht="15.75" thickBot="1" x14ac:dyDescent="0.3">
      <c r="A12" s="45" t="s">
        <v>77</v>
      </c>
      <c r="B12" s="7"/>
      <c r="C12" s="7"/>
      <c r="D12" s="7"/>
      <c r="E12" s="7"/>
      <c r="F12" s="7">
        <v>9</v>
      </c>
      <c r="G12" s="7"/>
      <c r="H12" s="57">
        <f>SUM(H6:H10)</f>
        <v>-11595</v>
      </c>
      <c r="I12" s="106"/>
      <c r="J12" s="57">
        <f>SUM(J6:J10)</f>
        <v>12001.469999999998</v>
      </c>
    </row>
    <row r="13" spans="1:10" x14ac:dyDescent="0.25">
      <c r="H13" s="17"/>
      <c r="I13" s="17"/>
      <c r="J13" s="50"/>
    </row>
    <row r="14" spans="1:10" x14ac:dyDescent="0.25">
      <c r="A14" s="58" t="s">
        <v>78</v>
      </c>
      <c r="H14" s="17"/>
      <c r="I14" s="17"/>
      <c r="J14" s="50"/>
    </row>
    <row r="15" spans="1:10" x14ac:dyDescent="0.25">
      <c r="A15" s="46" t="s">
        <v>79</v>
      </c>
      <c r="B15" s="46"/>
      <c r="C15" s="46"/>
      <c r="D15" s="46"/>
      <c r="E15" s="46"/>
      <c r="F15" s="46"/>
      <c r="G15" s="46"/>
      <c r="H15" s="50">
        <v>0</v>
      </c>
      <c r="I15" s="50"/>
      <c r="J15" s="50">
        <v>0</v>
      </c>
    </row>
    <row r="16" spans="1:10" x14ac:dyDescent="0.25">
      <c r="A16" s="46" t="s">
        <v>80</v>
      </c>
      <c r="B16" s="46"/>
      <c r="C16" s="46"/>
      <c r="D16" s="46"/>
      <c r="E16" s="46"/>
      <c r="F16" s="46"/>
      <c r="G16" s="46"/>
      <c r="H16" s="50">
        <v>0</v>
      </c>
      <c r="I16" s="50"/>
      <c r="J16" s="50">
        <v>0</v>
      </c>
    </row>
    <row r="17" spans="1:10" ht="6" customHeight="1" x14ac:dyDescent="0.25">
      <c r="A17" s="46"/>
      <c r="B17" s="46"/>
      <c r="C17" s="46"/>
      <c r="D17" s="46"/>
      <c r="E17" s="46"/>
      <c r="F17" s="46"/>
      <c r="G17" s="46"/>
      <c r="H17" s="50"/>
      <c r="I17" s="50"/>
      <c r="J17" s="50"/>
    </row>
    <row r="18" spans="1:10" ht="15.75" thickBot="1" x14ac:dyDescent="0.3">
      <c r="A18" s="48" t="s">
        <v>81</v>
      </c>
      <c r="B18" s="46"/>
      <c r="C18" s="46"/>
      <c r="D18" s="46"/>
      <c r="E18" s="46"/>
      <c r="F18" s="46"/>
      <c r="G18" s="46"/>
      <c r="H18" s="56">
        <v>0</v>
      </c>
      <c r="I18" s="50"/>
      <c r="J18" s="56">
        <v>0</v>
      </c>
    </row>
    <row r="19" spans="1:10" x14ac:dyDescent="0.25">
      <c r="H19" s="17"/>
      <c r="I19" s="17"/>
      <c r="J19" s="50"/>
    </row>
    <row r="20" spans="1:10" x14ac:dyDescent="0.25">
      <c r="A20" s="58" t="s">
        <v>82</v>
      </c>
      <c r="B20" s="7"/>
      <c r="H20" s="17"/>
      <c r="I20" s="17"/>
      <c r="J20" s="50"/>
    </row>
    <row r="21" spans="1:10" x14ac:dyDescent="0.25">
      <c r="A21" s="46" t="s">
        <v>83</v>
      </c>
      <c r="B21" s="46"/>
      <c r="C21" s="46"/>
      <c r="D21" s="46"/>
      <c r="E21" s="46"/>
      <c r="F21" s="46"/>
      <c r="G21" s="46"/>
      <c r="H21" s="50">
        <v>0</v>
      </c>
      <c r="I21" s="50"/>
      <c r="J21" s="50">
        <v>0</v>
      </c>
    </row>
    <row r="22" spans="1:10" x14ac:dyDescent="0.25">
      <c r="A22" s="46" t="s">
        <v>84</v>
      </c>
      <c r="B22" s="46"/>
      <c r="C22" s="46"/>
      <c r="D22" s="46"/>
      <c r="E22" s="46"/>
      <c r="F22" s="46"/>
      <c r="G22" s="46"/>
      <c r="H22" s="50">
        <v>0</v>
      </c>
      <c r="I22" s="50"/>
      <c r="J22" s="50">
        <v>0</v>
      </c>
    </row>
    <row r="23" spans="1:10" ht="6" customHeight="1" x14ac:dyDescent="0.25">
      <c r="A23" s="46"/>
      <c r="B23" s="46"/>
      <c r="C23" s="46"/>
      <c r="D23" s="46"/>
      <c r="E23" s="46"/>
      <c r="F23" s="46"/>
      <c r="G23" s="46"/>
      <c r="H23" s="50"/>
      <c r="I23" s="50"/>
      <c r="J23" s="50"/>
    </row>
    <row r="24" spans="1:10" ht="15.75" thickBot="1" x14ac:dyDescent="0.3">
      <c r="A24" s="48" t="s">
        <v>85</v>
      </c>
      <c r="B24" s="46"/>
      <c r="C24" s="46"/>
      <c r="D24" s="46"/>
      <c r="E24" s="46"/>
      <c r="F24" s="46"/>
      <c r="G24" s="46"/>
      <c r="H24" s="56">
        <v>0</v>
      </c>
      <c r="I24" s="50"/>
      <c r="J24" s="56">
        <v>0</v>
      </c>
    </row>
    <row r="25" spans="1:10" x14ac:dyDescent="0.25">
      <c r="H25" s="17"/>
      <c r="I25" s="17"/>
      <c r="J25" s="50"/>
    </row>
    <row r="26" spans="1:10" x14ac:dyDescent="0.25">
      <c r="A26" s="48" t="s">
        <v>86</v>
      </c>
      <c r="H26" s="106">
        <f>H30-H28</f>
        <v>-11595</v>
      </c>
      <c r="I26" s="106"/>
      <c r="J26" s="96">
        <f>J12</f>
        <v>12001.469999999998</v>
      </c>
    </row>
    <row r="27" spans="1:10" ht="6" customHeight="1" x14ac:dyDescent="0.25">
      <c r="A27" s="46"/>
      <c r="H27" s="17"/>
      <c r="I27" s="17"/>
      <c r="J27" s="50"/>
    </row>
    <row r="28" spans="1:10" x14ac:dyDescent="0.25">
      <c r="A28" s="48" t="s">
        <v>87</v>
      </c>
      <c r="H28" s="17">
        <f>GC_TB_2016!G6</f>
        <v>12001</v>
      </c>
      <c r="I28" s="17"/>
      <c r="J28" s="50">
        <v>0</v>
      </c>
    </row>
    <row r="29" spans="1:10" ht="6" customHeight="1" x14ac:dyDescent="0.25">
      <c r="A29" s="46"/>
      <c r="H29" s="17"/>
      <c r="I29" s="17"/>
      <c r="J29" s="50"/>
    </row>
    <row r="30" spans="1:10" ht="15.75" thickBot="1" x14ac:dyDescent="0.3">
      <c r="A30" s="48" t="s">
        <v>88</v>
      </c>
      <c r="H30" s="107">
        <f>GC_TB_2017!G6</f>
        <v>406</v>
      </c>
      <c r="I30" s="106"/>
      <c r="J30" s="57">
        <f>GC_TB_2016!G6</f>
        <v>12001</v>
      </c>
    </row>
    <row r="31" spans="1:10" x14ac:dyDescent="0.25">
      <c r="J31" s="46"/>
    </row>
    <row r="38" spans="6:6" x14ac:dyDescent="0.25">
      <c r="F38" s="63"/>
    </row>
  </sheetData>
  <pageMargins left="0.39370078740157483" right="0.39370078740157483" top="0.74803149606299213" bottom="0.74803149606299213" header="0.31496062992125984" footer="0.31496062992125984"/>
  <pageSetup paperSize="9" firstPageNumber="11" orientation="portrait" useFirstPageNumber="1" r:id="rId1"/>
  <headerFooter>
    <oddHeader>&amp;L&amp;"-,Bold"GAUTENG CYCLING ASSOCIATION
Annual financial statements for the year ended 31 December 2017
Notes to the annual financial statements</oddHeader>
    <oddFooter>&amp;CPage &amp;P</oddFooter>
  </headerFooter>
  <customProperties>
    <customPr name="_pios_id" r:id="rId2"/>
  </customPropertie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1:J112"/>
  <sheetViews>
    <sheetView view="pageLayout" topLeftCell="A28" zoomScaleNormal="100" workbookViewId="0">
      <selection activeCell="F17" sqref="F17"/>
    </sheetView>
  </sheetViews>
  <sheetFormatPr defaultRowHeight="15" x14ac:dyDescent="0.25"/>
  <cols>
    <col min="1" max="1" width="3.5703125" style="12" customWidth="1"/>
    <col min="2" max="9" width="9.140625" style="2"/>
    <col min="10" max="10" width="18.28515625" style="2" customWidth="1"/>
    <col min="11" max="16384" width="9.140625" style="2"/>
  </cols>
  <sheetData>
    <row r="1" spans="1:10" x14ac:dyDescent="0.25">
      <c r="A1" s="10"/>
      <c r="B1" s="3"/>
      <c r="C1" s="3"/>
      <c r="D1" s="3"/>
      <c r="E1" s="3"/>
      <c r="F1" s="3"/>
      <c r="G1" s="3"/>
      <c r="H1" s="3"/>
      <c r="I1" s="3"/>
      <c r="J1" s="3"/>
    </row>
    <row r="2" spans="1:10" ht="6" customHeight="1" x14ac:dyDescent="0.25"/>
    <row r="3" spans="1:10" x14ac:dyDescent="0.25">
      <c r="A3" s="13" t="s">
        <v>36</v>
      </c>
      <c r="B3" s="5" t="s">
        <v>93</v>
      </c>
    </row>
    <row r="4" spans="1:10" ht="6" customHeight="1" x14ac:dyDescent="0.25"/>
    <row r="5" spans="1:10" x14ac:dyDescent="0.25">
      <c r="A5" s="34" t="s">
        <v>91</v>
      </c>
      <c r="B5" s="35" t="s">
        <v>89</v>
      </c>
    </row>
    <row r="6" spans="1:10" ht="6" customHeight="1" x14ac:dyDescent="0.25"/>
    <row r="7" spans="1:10" ht="37.5" customHeight="1" x14ac:dyDescent="0.25">
      <c r="B7" s="160" t="s">
        <v>90</v>
      </c>
      <c r="C7" s="160"/>
      <c r="D7" s="160"/>
      <c r="E7" s="160"/>
      <c r="F7" s="160"/>
      <c r="G7" s="160"/>
      <c r="H7" s="160"/>
      <c r="I7" s="160"/>
      <c r="J7" s="160"/>
    </row>
    <row r="8" spans="1:10" ht="6" customHeight="1" x14ac:dyDescent="0.25"/>
    <row r="9" spans="1:10" ht="12.75" customHeight="1" x14ac:dyDescent="0.25">
      <c r="B9" s="27" t="s">
        <v>471</v>
      </c>
    </row>
    <row r="11" spans="1:10" x14ac:dyDescent="0.25">
      <c r="A11" s="34" t="s">
        <v>94</v>
      </c>
      <c r="B11" s="35" t="s">
        <v>95</v>
      </c>
    </row>
    <row r="12" spans="1:10" x14ac:dyDescent="0.25">
      <c r="A12" s="13"/>
      <c r="B12" s="27" t="s">
        <v>98</v>
      </c>
      <c r="C12" s="27"/>
    </row>
    <row r="13" spans="1:10" ht="6" customHeight="1" x14ac:dyDescent="0.25">
      <c r="B13" s="5"/>
    </row>
    <row r="14" spans="1:10" x14ac:dyDescent="0.25">
      <c r="A14" s="34" t="s">
        <v>96</v>
      </c>
      <c r="B14" s="35" t="s">
        <v>97</v>
      </c>
    </row>
    <row r="15" spans="1:10" ht="37.5" customHeight="1" x14ac:dyDescent="0.25">
      <c r="A15" s="13"/>
      <c r="B15" s="160" t="s">
        <v>99</v>
      </c>
      <c r="C15" s="160"/>
      <c r="D15" s="160"/>
      <c r="E15" s="160"/>
      <c r="F15" s="160"/>
      <c r="G15" s="160"/>
      <c r="H15" s="160"/>
      <c r="I15" s="160"/>
      <c r="J15" s="160"/>
    </row>
    <row r="16" spans="1:10" ht="6" customHeight="1" x14ac:dyDescent="0.25"/>
    <row r="17" spans="1:10" x14ac:dyDescent="0.25">
      <c r="A17" s="34" t="s">
        <v>100</v>
      </c>
      <c r="B17" s="35" t="s">
        <v>92</v>
      </c>
    </row>
    <row r="18" spans="1:10" ht="24.75" customHeight="1" x14ac:dyDescent="0.2">
      <c r="B18" s="164" t="s">
        <v>191</v>
      </c>
      <c r="C18" s="164"/>
      <c r="D18" s="164"/>
      <c r="E18" s="164"/>
      <c r="F18" s="164"/>
      <c r="G18" s="164"/>
      <c r="H18" s="164"/>
      <c r="I18" s="164"/>
      <c r="J18" s="164"/>
    </row>
    <row r="19" spans="1:10" ht="6" customHeight="1" x14ac:dyDescent="0.25"/>
    <row r="20" spans="1:10" ht="25.5" customHeight="1" x14ac:dyDescent="0.2">
      <c r="B20" s="164" t="s">
        <v>101</v>
      </c>
      <c r="C20" s="164"/>
      <c r="D20" s="164"/>
      <c r="E20" s="164"/>
      <c r="F20" s="164"/>
      <c r="G20" s="164"/>
      <c r="H20" s="164"/>
      <c r="I20" s="164"/>
      <c r="J20" s="164"/>
    </row>
    <row r="21" spans="1:10" ht="6" customHeight="1" x14ac:dyDescent="0.25"/>
    <row r="22" spans="1:10" ht="73.5" customHeight="1" x14ac:dyDescent="0.2">
      <c r="B22" s="164" t="s">
        <v>102</v>
      </c>
      <c r="C22" s="164"/>
      <c r="D22" s="164"/>
      <c r="E22" s="164"/>
      <c r="F22" s="164"/>
      <c r="G22" s="164"/>
      <c r="H22" s="164"/>
      <c r="I22" s="164"/>
      <c r="J22" s="164"/>
    </row>
    <row r="23" spans="1:10" ht="6" customHeight="1" x14ac:dyDescent="0.25">
      <c r="B23" s="27"/>
      <c r="C23" s="27"/>
      <c r="D23" s="27"/>
      <c r="E23" s="27"/>
      <c r="F23" s="27"/>
      <c r="G23" s="27"/>
      <c r="H23" s="27"/>
      <c r="I23" s="27"/>
      <c r="J23" s="27"/>
    </row>
    <row r="24" spans="1:10" ht="84" customHeight="1" x14ac:dyDescent="0.2">
      <c r="B24" s="164" t="s">
        <v>459</v>
      </c>
      <c r="C24" s="164"/>
      <c r="D24" s="164"/>
      <c r="E24" s="164"/>
      <c r="F24" s="164"/>
      <c r="G24" s="164"/>
      <c r="H24" s="164"/>
      <c r="I24" s="164"/>
      <c r="J24" s="164"/>
    </row>
    <row r="25" spans="1:10" ht="6" customHeight="1" x14ac:dyDescent="0.25"/>
    <row r="26" spans="1:10" ht="36.75" customHeight="1" x14ac:dyDescent="0.2">
      <c r="B26" s="164" t="s">
        <v>103</v>
      </c>
      <c r="C26" s="164"/>
      <c r="D26" s="164"/>
      <c r="E26" s="164"/>
      <c r="F26" s="164"/>
      <c r="G26" s="164"/>
      <c r="H26" s="164"/>
      <c r="I26" s="164"/>
      <c r="J26" s="164"/>
    </row>
    <row r="27" spans="1:10" ht="6" customHeight="1" x14ac:dyDescent="0.25"/>
    <row r="28" spans="1:10" ht="73.5" customHeight="1" x14ac:dyDescent="0.2">
      <c r="B28" s="164" t="s">
        <v>104</v>
      </c>
      <c r="C28" s="164"/>
      <c r="D28" s="164"/>
      <c r="E28" s="164"/>
      <c r="F28" s="164"/>
      <c r="G28" s="164"/>
      <c r="H28" s="164"/>
      <c r="I28" s="164"/>
      <c r="J28" s="164"/>
    </row>
    <row r="29" spans="1:10" ht="6" customHeight="1" x14ac:dyDescent="0.25"/>
    <row r="30" spans="1:10" x14ac:dyDescent="0.25">
      <c r="B30" s="27" t="s">
        <v>105</v>
      </c>
    </row>
    <row r="31" spans="1:10" ht="6" customHeight="1" x14ac:dyDescent="0.25"/>
    <row r="32" spans="1:10" x14ac:dyDescent="0.25">
      <c r="B32" s="35" t="s">
        <v>57</v>
      </c>
    </row>
    <row r="33" spans="1:10" ht="30" customHeight="1" x14ac:dyDescent="0.25">
      <c r="B33" s="160" t="s">
        <v>106</v>
      </c>
      <c r="C33" s="160"/>
      <c r="D33" s="160"/>
      <c r="E33" s="160"/>
      <c r="F33" s="160"/>
      <c r="G33" s="160"/>
      <c r="H33" s="160"/>
      <c r="I33" s="160"/>
      <c r="J33" s="160"/>
    </row>
    <row r="34" spans="1:10" ht="15" customHeight="1" x14ac:dyDescent="0.25">
      <c r="B34" s="54"/>
      <c r="C34" s="54"/>
      <c r="D34" s="54"/>
      <c r="E34" s="54"/>
      <c r="F34" s="54"/>
      <c r="G34" s="54"/>
      <c r="H34" s="54"/>
      <c r="I34" s="54"/>
      <c r="J34" s="54"/>
    </row>
    <row r="35" spans="1:10" ht="15" customHeight="1" x14ac:dyDescent="0.25">
      <c r="B35" s="54"/>
      <c r="C35" s="54"/>
      <c r="D35" s="54"/>
      <c r="E35" s="54"/>
      <c r="F35" s="54"/>
      <c r="G35" s="54"/>
      <c r="H35" s="54"/>
      <c r="I35" s="54"/>
      <c r="J35" s="54"/>
    </row>
    <row r="36" spans="1:10" ht="15" customHeight="1" x14ac:dyDescent="0.25">
      <c r="B36" s="108"/>
      <c r="C36" s="108"/>
      <c r="D36" s="108"/>
      <c r="E36" s="108"/>
      <c r="F36" s="108"/>
      <c r="G36" s="108"/>
      <c r="H36" s="108"/>
      <c r="I36" s="108"/>
      <c r="J36" s="108"/>
    </row>
    <row r="37" spans="1:10" ht="15" customHeight="1" x14ac:dyDescent="0.25">
      <c r="B37" s="108"/>
      <c r="C37" s="108"/>
      <c r="D37" s="108"/>
      <c r="E37" s="108"/>
      <c r="F37" s="108"/>
      <c r="G37" s="108"/>
      <c r="H37" s="108"/>
      <c r="I37" s="108"/>
      <c r="J37" s="108"/>
    </row>
    <row r="38" spans="1:10" ht="15" customHeight="1" x14ac:dyDescent="0.25">
      <c r="B38" s="54"/>
      <c r="C38" s="54"/>
      <c r="D38" s="54"/>
      <c r="E38" s="54"/>
      <c r="F38" s="54"/>
      <c r="G38" s="54"/>
      <c r="H38" s="54"/>
      <c r="I38" s="54"/>
      <c r="J38" s="54"/>
    </row>
    <row r="39" spans="1:10" ht="15" customHeight="1" x14ac:dyDescent="0.25">
      <c r="B39" s="54"/>
      <c r="C39" s="54"/>
      <c r="D39" s="54"/>
      <c r="E39" s="54"/>
      <c r="F39" s="54"/>
      <c r="G39" s="54"/>
      <c r="H39" s="54"/>
      <c r="I39" s="54"/>
      <c r="J39" s="54"/>
    </row>
    <row r="40" spans="1:10" ht="15" customHeight="1" x14ac:dyDescent="0.25">
      <c r="A40" s="10"/>
      <c r="B40" s="55"/>
      <c r="C40" s="55"/>
      <c r="D40" s="55"/>
      <c r="E40" s="55"/>
      <c r="F40" s="55"/>
      <c r="G40" s="55"/>
      <c r="H40" s="55"/>
      <c r="I40" s="55"/>
      <c r="J40" s="55"/>
    </row>
    <row r="41" spans="1:10" ht="15" customHeight="1" x14ac:dyDescent="0.25"/>
    <row r="42" spans="1:10" ht="15" customHeight="1" x14ac:dyDescent="0.25">
      <c r="A42" s="34" t="s">
        <v>100</v>
      </c>
      <c r="B42" s="35" t="s">
        <v>185</v>
      </c>
    </row>
    <row r="43" spans="1:10" x14ac:dyDescent="0.25">
      <c r="B43" s="35" t="s">
        <v>60</v>
      </c>
    </row>
    <row r="44" spans="1:10" ht="24.75" customHeight="1" x14ac:dyDescent="0.25">
      <c r="B44" s="160" t="s">
        <v>107</v>
      </c>
      <c r="C44" s="160"/>
      <c r="D44" s="160"/>
      <c r="E44" s="160"/>
      <c r="F44" s="160"/>
      <c r="G44" s="160"/>
      <c r="H44" s="160"/>
      <c r="I44" s="160"/>
      <c r="J44" s="160"/>
    </row>
    <row r="45" spans="1:10" ht="6" customHeight="1" x14ac:dyDescent="0.25"/>
    <row r="46" spans="1:10" x14ac:dyDescent="0.25">
      <c r="B46" s="35" t="s">
        <v>56</v>
      </c>
    </row>
    <row r="47" spans="1:10" ht="36" customHeight="1" x14ac:dyDescent="0.25">
      <c r="B47" s="160" t="s">
        <v>108</v>
      </c>
      <c r="C47" s="160"/>
      <c r="D47" s="160"/>
      <c r="E47" s="160"/>
      <c r="F47" s="160"/>
      <c r="G47" s="160"/>
      <c r="H47" s="160"/>
      <c r="I47" s="160"/>
      <c r="J47" s="160"/>
    </row>
    <row r="48" spans="1:10" ht="6" customHeight="1" x14ac:dyDescent="0.25"/>
    <row r="49" spans="1:10" x14ac:dyDescent="0.25">
      <c r="B49" s="35" t="s">
        <v>109</v>
      </c>
    </row>
    <row r="50" spans="1:10" ht="12" customHeight="1" x14ac:dyDescent="0.25">
      <c r="B50" s="160" t="s">
        <v>110</v>
      </c>
      <c r="C50" s="160"/>
      <c r="D50" s="160"/>
      <c r="E50" s="160"/>
      <c r="F50" s="160"/>
      <c r="G50" s="160"/>
      <c r="H50" s="160"/>
      <c r="I50" s="160"/>
      <c r="J50" s="160"/>
    </row>
    <row r="51" spans="1:10" ht="12" customHeight="1" x14ac:dyDescent="0.25">
      <c r="B51" s="54"/>
      <c r="C51" s="54"/>
      <c r="D51" s="54"/>
      <c r="E51" s="54"/>
      <c r="F51" s="54"/>
      <c r="G51" s="54"/>
      <c r="H51" s="54"/>
      <c r="I51" s="54"/>
      <c r="J51" s="54"/>
    </row>
    <row r="52" spans="1:10" ht="12" customHeight="1" x14ac:dyDescent="0.25">
      <c r="A52" s="34" t="s">
        <v>111</v>
      </c>
      <c r="B52" s="35" t="s">
        <v>380</v>
      </c>
      <c r="C52" s="54"/>
      <c r="D52" s="54"/>
      <c r="E52" s="54"/>
      <c r="F52" s="54"/>
      <c r="G52" s="54"/>
      <c r="H52" s="54"/>
      <c r="I52" s="54"/>
      <c r="J52" s="54"/>
    </row>
    <row r="53" spans="1:10" ht="61.5" customHeight="1" x14ac:dyDescent="0.25">
      <c r="B53" s="160" t="s">
        <v>381</v>
      </c>
      <c r="C53" s="160"/>
      <c r="D53" s="160"/>
      <c r="E53" s="160"/>
      <c r="F53" s="160"/>
      <c r="G53" s="160"/>
      <c r="H53" s="160"/>
      <c r="I53" s="160"/>
      <c r="J53" s="160"/>
    </row>
    <row r="54" spans="1:10" ht="6" customHeight="1" x14ac:dyDescent="0.25">
      <c r="B54" s="160"/>
      <c r="C54" s="160"/>
      <c r="D54" s="160"/>
      <c r="E54" s="160"/>
      <c r="F54" s="160"/>
      <c r="G54" s="160"/>
      <c r="H54" s="160"/>
      <c r="I54" s="160"/>
      <c r="J54" s="160"/>
    </row>
    <row r="55" spans="1:10" ht="84.75" customHeight="1" x14ac:dyDescent="0.25">
      <c r="B55" s="160" t="s">
        <v>460</v>
      </c>
      <c r="C55" s="160"/>
      <c r="D55" s="160"/>
      <c r="E55" s="160"/>
      <c r="F55" s="160"/>
      <c r="G55" s="160"/>
      <c r="H55" s="160"/>
      <c r="I55" s="160"/>
      <c r="J55" s="160"/>
    </row>
    <row r="56" spans="1:10" ht="6" customHeight="1" x14ac:dyDescent="0.25">
      <c r="B56" s="160"/>
      <c r="C56" s="160"/>
      <c r="D56" s="160"/>
      <c r="E56" s="160"/>
      <c r="F56" s="160"/>
      <c r="G56" s="160"/>
      <c r="H56" s="160"/>
      <c r="I56" s="160"/>
      <c r="J56" s="160"/>
    </row>
    <row r="57" spans="1:10" ht="73.5" customHeight="1" x14ac:dyDescent="0.25">
      <c r="B57" s="160" t="s">
        <v>382</v>
      </c>
      <c r="C57" s="160"/>
      <c r="D57" s="160"/>
      <c r="E57" s="160"/>
      <c r="F57" s="160"/>
      <c r="G57" s="160"/>
      <c r="H57" s="160"/>
      <c r="I57" s="160"/>
      <c r="J57" s="160"/>
    </row>
    <row r="58" spans="1:10" ht="6" customHeight="1" x14ac:dyDescent="0.25">
      <c r="B58" s="160"/>
      <c r="C58" s="160"/>
      <c r="D58" s="160"/>
      <c r="E58" s="160"/>
      <c r="F58" s="160"/>
      <c r="G58" s="160"/>
      <c r="H58" s="160"/>
      <c r="I58" s="160"/>
      <c r="J58" s="160"/>
    </row>
    <row r="59" spans="1:10" ht="98.25" customHeight="1" x14ac:dyDescent="0.25">
      <c r="B59" s="160" t="s">
        <v>383</v>
      </c>
      <c r="C59" s="160"/>
      <c r="D59" s="160"/>
      <c r="E59" s="160"/>
      <c r="F59" s="160"/>
      <c r="G59" s="160"/>
      <c r="H59" s="160"/>
      <c r="I59" s="160"/>
      <c r="J59" s="160"/>
    </row>
    <row r="60" spans="1:10" x14ac:dyDescent="0.25">
      <c r="B60" s="54"/>
      <c r="C60" s="54"/>
      <c r="D60" s="54"/>
      <c r="E60" s="54"/>
      <c r="F60" s="54"/>
      <c r="G60" s="54"/>
      <c r="H60" s="54"/>
      <c r="I60" s="54"/>
      <c r="J60" s="54"/>
    </row>
    <row r="61" spans="1:10" x14ac:dyDescent="0.25">
      <c r="A61" s="34" t="s">
        <v>178</v>
      </c>
      <c r="B61" s="35" t="s">
        <v>461</v>
      </c>
      <c r="C61" s="54"/>
      <c r="D61" s="54"/>
      <c r="E61" s="54"/>
      <c r="F61" s="54"/>
      <c r="G61" s="54"/>
      <c r="H61" s="54"/>
      <c r="I61" s="54"/>
      <c r="J61" s="54"/>
    </row>
    <row r="62" spans="1:10" ht="63.75" customHeight="1" x14ac:dyDescent="0.25">
      <c r="B62" s="160" t="s">
        <v>387</v>
      </c>
      <c r="C62" s="160"/>
      <c r="D62" s="160"/>
      <c r="E62" s="160"/>
      <c r="F62" s="160"/>
      <c r="G62" s="160"/>
      <c r="H62" s="160"/>
      <c r="I62" s="160"/>
      <c r="J62" s="160"/>
    </row>
    <row r="63" spans="1:10" x14ac:dyDescent="0.25">
      <c r="B63" s="54"/>
      <c r="C63" s="54"/>
      <c r="D63" s="54"/>
      <c r="E63" s="54"/>
      <c r="F63" s="54"/>
      <c r="G63" s="54"/>
      <c r="H63" s="54"/>
      <c r="I63" s="54"/>
      <c r="J63" s="54"/>
    </row>
    <row r="64" spans="1:10" x14ac:dyDescent="0.25">
      <c r="B64" s="54"/>
      <c r="C64" s="54"/>
      <c r="D64" s="54"/>
      <c r="E64" s="54"/>
      <c r="F64" s="54"/>
      <c r="G64" s="54"/>
      <c r="H64" s="54"/>
      <c r="I64" s="54"/>
      <c r="J64" s="54"/>
    </row>
    <row r="65" spans="1:10" x14ac:dyDescent="0.25">
      <c r="B65" s="54"/>
      <c r="C65" s="54"/>
      <c r="D65" s="54"/>
      <c r="E65" s="54"/>
      <c r="F65" s="54"/>
      <c r="G65" s="54"/>
      <c r="H65" s="54"/>
      <c r="I65" s="54"/>
      <c r="J65" s="54"/>
    </row>
    <row r="66" spans="1:10" x14ac:dyDescent="0.25">
      <c r="B66" s="108"/>
      <c r="C66" s="108"/>
      <c r="D66" s="108"/>
      <c r="E66" s="108"/>
      <c r="F66" s="108"/>
      <c r="G66" s="108"/>
      <c r="H66" s="108"/>
      <c r="I66" s="108"/>
      <c r="J66" s="108"/>
    </row>
    <row r="67" spans="1:10" x14ac:dyDescent="0.25">
      <c r="B67" s="108"/>
      <c r="C67" s="108"/>
      <c r="D67" s="108"/>
      <c r="E67" s="108"/>
      <c r="F67" s="108"/>
      <c r="G67" s="108"/>
      <c r="H67" s="108"/>
      <c r="I67" s="108"/>
      <c r="J67" s="108"/>
    </row>
    <row r="68" spans="1:10" x14ac:dyDescent="0.25">
      <c r="B68" s="54"/>
      <c r="C68" s="54"/>
      <c r="D68" s="54"/>
      <c r="E68" s="54"/>
      <c r="F68" s="54"/>
      <c r="G68" s="54"/>
      <c r="H68" s="54"/>
      <c r="I68" s="54"/>
      <c r="J68" s="54"/>
    </row>
    <row r="69" spans="1:10" x14ac:dyDescent="0.25">
      <c r="B69" s="54"/>
      <c r="C69" s="54"/>
      <c r="D69" s="54"/>
      <c r="E69" s="54"/>
      <c r="F69" s="54"/>
      <c r="G69" s="54"/>
      <c r="H69" s="54"/>
      <c r="I69" s="54"/>
      <c r="J69" s="54"/>
    </row>
    <row r="70" spans="1:10" ht="12" customHeight="1" x14ac:dyDescent="0.25">
      <c r="B70" s="54"/>
      <c r="C70" s="54"/>
      <c r="D70" s="54"/>
      <c r="E70" s="54"/>
      <c r="F70" s="54"/>
      <c r="G70" s="54"/>
      <c r="H70" s="54"/>
      <c r="I70" s="54"/>
      <c r="J70" s="54"/>
    </row>
    <row r="71" spans="1:10" x14ac:dyDescent="0.25">
      <c r="A71" s="10"/>
      <c r="B71" s="3"/>
      <c r="C71" s="3"/>
      <c r="D71" s="3"/>
      <c r="E71" s="3"/>
      <c r="F71" s="3"/>
      <c r="G71" s="3"/>
      <c r="H71" s="3"/>
      <c r="I71" s="3"/>
      <c r="J71" s="3"/>
    </row>
    <row r="73" spans="1:10" x14ac:dyDescent="0.25">
      <c r="A73" s="34" t="s">
        <v>179</v>
      </c>
      <c r="B73" s="35" t="s">
        <v>61</v>
      </c>
    </row>
    <row r="74" spans="1:10" ht="50.25" customHeight="1" x14ac:dyDescent="0.25">
      <c r="B74" s="160" t="s">
        <v>472</v>
      </c>
      <c r="C74" s="160"/>
      <c r="D74" s="160"/>
      <c r="E74" s="160"/>
      <c r="F74" s="160"/>
      <c r="G74" s="160"/>
      <c r="H74" s="160"/>
      <c r="I74" s="160"/>
      <c r="J74" s="160"/>
    </row>
    <row r="75" spans="1:10" ht="6" customHeight="1" x14ac:dyDescent="0.25"/>
    <row r="76" spans="1:10" ht="51" customHeight="1" x14ac:dyDescent="0.25">
      <c r="B76" s="160" t="s">
        <v>375</v>
      </c>
      <c r="C76" s="160"/>
      <c r="D76" s="160"/>
      <c r="E76" s="160"/>
      <c r="F76" s="160"/>
      <c r="G76" s="160"/>
      <c r="H76" s="160"/>
      <c r="I76" s="160"/>
      <c r="J76" s="160"/>
    </row>
    <row r="77" spans="1:10" ht="6" customHeight="1" x14ac:dyDescent="0.25"/>
    <row r="78" spans="1:10" ht="12.75" customHeight="1" x14ac:dyDescent="0.25">
      <c r="B78" s="27" t="s">
        <v>112</v>
      </c>
    </row>
    <row r="79" spans="1:10" ht="6" customHeight="1" x14ac:dyDescent="0.25"/>
    <row r="80" spans="1:10" x14ac:dyDescent="0.25">
      <c r="B80" s="35" t="s">
        <v>113</v>
      </c>
    </row>
    <row r="81" spans="1:10" ht="48" customHeight="1" x14ac:dyDescent="0.25">
      <c r="B81" s="160" t="s">
        <v>677</v>
      </c>
      <c r="C81" s="160"/>
      <c r="D81" s="160"/>
      <c r="E81" s="160"/>
      <c r="F81" s="160"/>
      <c r="G81" s="160"/>
      <c r="H81" s="160"/>
      <c r="I81" s="160"/>
      <c r="J81" s="160"/>
    </row>
    <row r="82" spans="1:10" ht="6" customHeight="1" x14ac:dyDescent="0.25">
      <c r="B82" s="15"/>
      <c r="C82" s="15"/>
      <c r="D82" s="15"/>
      <c r="E82" s="15"/>
      <c r="F82" s="15"/>
      <c r="G82" s="15"/>
      <c r="H82" s="15"/>
      <c r="I82" s="15"/>
      <c r="J82" s="15"/>
    </row>
    <row r="83" spans="1:10" x14ac:dyDescent="0.25">
      <c r="B83" s="35" t="s">
        <v>114</v>
      </c>
    </row>
    <row r="84" spans="1:10" ht="49.5" customHeight="1" x14ac:dyDescent="0.25">
      <c r="B84" s="160" t="s">
        <v>117</v>
      </c>
      <c r="C84" s="160"/>
      <c r="D84" s="160"/>
      <c r="E84" s="160"/>
      <c r="F84" s="160"/>
      <c r="G84" s="160"/>
      <c r="H84" s="160"/>
      <c r="I84" s="160"/>
      <c r="J84" s="160"/>
    </row>
    <row r="85" spans="1:10" ht="5.25" customHeight="1" x14ac:dyDescent="0.25">
      <c r="B85" s="15"/>
      <c r="C85" s="15"/>
      <c r="D85" s="15"/>
      <c r="E85" s="15"/>
      <c r="F85" s="15"/>
      <c r="G85" s="15"/>
      <c r="H85" s="15"/>
      <c r="I85" s="15"/>
      <c r="J85" s="15"/>
    </row>
    <row r="86" spans="1:10" x14ac:dyDescent="0.25">
      <c r="B86" s="35" t="s">
        <v>115</v>
      </c>
    </row>
    <row r="87" spans="1:10" ht="48.75" customHeight="1" x14ac:dyDescent="0.25">
      <c r="B87" s="163" t="s">
        <v>678</v>
      </c>
      <c r="C87" s="163"/>
      <c r="D87" s="163"/>
      <c r="E87" s="163"/>
      <c r="F87" s="163"/>
      <c r="G87" s="163"/>
      <c r="H87" s="163"/>
      <c r="I87" s="163"/>
      <c r="J87" s="163"/>
    </row>
    <row r="88" spans="1:10" ht="6" customHeight="1" x14ac:dyDescent="0.25">
      <c r="B88" s="26"/>
      <c r="C88" s="26"/>
      <c r="D88" s="26"/>
      <c r="E88" s="26"/>
      <c r="F88" s="26"/>
      <c r="G88" s="26"/>
      <c r="H88" s="26"/>
      <c r="I88" s="26"/>
      <c r="J88" s="26"/>
    </row>
    <row r="89" spans="1:10" x14ac:dyDescent="0.25">
      <c r="B89" s="35" t="s">
        <v>116</v>
      </c>
    </row>
    <row r="90" spans="1:10" ht="36" customHeight="1" x14ac:dyDescent="0.25">
      <c r="B90" s="160" t="s">
        <v>118</v>
      </c>
      <c r="C90" s="160"/>
      <c r="D90" s="160"/>
      <c r="E90" s="160"/>
      <c r="F90" s="160"/>
      <c r="G90" s="160"/>
      <c r="H90" s="160"/>
      <c r="I90" s="160"/>
      <c r="J90" s="160"/>
    </row>
    <row r="91" spans="1:10" ht="6" customHeight="1" x14ac:dyDescent="0.25"/>
    <row r="92" spans="1:10" x14ac:dyDescent="0.25">
      <c r="B92" s="35" t="s">
        <v>177</v>
      </c>
    </row>
    <row r="93" spans="1:10" ht="73.5" customHeight="1" x14ac:dyDescent="0.25">
      <c r="B93" s="160" t="s">
        <v>679</v>
      </c>
      <c r="C93" s="160"/>
      <c r="D93" s="160"/>
      <c r="E93" s="160"/>
      <c r="F93" s="160"/>
      <c r="G93" s="160"/>
      <c r="H93" s="160"/>
      <c r="I93" s="160"/>
      <c r="J93" s="160"/>
    </row>
    <row r="94" spans="1:10" x14ac:dyDescent="0.25">
      <c r="B94" s="54"/>
      <c r="C94" s="54"/>
      <c r="D94" s="54"/>
      <c r="E94" s="54"/>
      <c r="F94" s="54"/>
      <c r="G94" s="54"/>
      <c r="H94" s="54"/>
      <c r="I94" s="54"/>
      <c r="J94" s="54"/>
    </row>
    <row r="95" spans="1:10" ht="15" customHeight="1" x14ac:dyDescent="0.25">
      <c r="A95" s="34" t="s">
        <v>181</v>
      </c>
      <c r="B95" s="165" t="s">
        <v>597</v>
      </c>
      <c r="C95" s="165"/>
      <c r="D95" s="165"/>
      <c r="E95" s="165"/>
      <c r="F95" s="165"/>
      <c r="G95" s="165"/>
      <c r="H95" s="165"/>
      <c r="I95" s="165"/>
      <c r="J95" s="165"/>
    </row>
    <row r="96" spans="1:10" ht="49.5" customHeight="1" x14ac:dyDescent="0.25">
      <c r="B96" s="160" t="s">
        <v>680</v>
      </c>
      <c r="C96" s="160"/>
      <c r="D96" s="160"/>
      <c r="E96" s="160"/>
      <c r="F96" s="160"/>
      <c r="G96" s="160"/>
      <c r="H96" s="160"/>
      <c r="I96" s="160"/>
      <c r="J96" s="160"/>
    </row>
    <row r="97" spans="1:10" ht="6" customHeight="1" x14ac:dyDescent="0.25">
      <c r="B97" s="4"/>
      <c r="C97" s="4"/>
      <c r="D97" s="4"/>
      <c r="E97" s="4"/>
      <c r="F97" s="4"/>
      <c r="G97" s="4"/>
      <c r="H97" s="4"/>
      <c r="I97" s="4"/>
      <c r="J97" s="4"/>
    </row>
    <row r="98" spans="1:10" ht="27" customHeight="1" x14ac:dyDescent="0.25">
      <c r="B98" s="160" t="s">
        <v>180</v>
      </c>
      <c r="C98" s="160"/>
      <c r="D98" s="160"/>
      <c r="E98" s="160"/>
      <c r="F98" s="160"/>
      <c r="G98" s="160"/>
      <c r="H98" s="160"/>
      <c r="I98" s="160"/>
      <c r="J98" s="160"/>
    </row>
    <row r="99" spans="1:10" x14ac:dyDescent="0.25">
      <c r="B99" s="15"/>
      <c r="C99" s="15"/>
      <c r="D99" s="15"/>
      <c r="E99" s="15"/>
      <c r="F99" s="15"/>
      <c r="G99" s="15"/>
      <c r="H99" s="15"/>
      <c r="I99" s="15"/>
      <c r="J99" s="15"/>
    </row>
    <row r="100" spans="1:10" x14ac:dyDescent="0.25">
      <c r="A100" s="34" t="s">
        <v>186</v>
      </c>
      <c r="B100" s="35" t="s">
        <v>62</v>
      </c>
    </row>
    <row r="101" spans="1:10" ht="36.75" customHeight="1" x14ac:dyDescent="0.25">
      <c r="B101" s="160" t="s">
        <v>192</v>
      </c>
      <c r="C101" s="160"/>
      <c r="D101" s="160"/>
      <c r="E101" s="160"/>
      <c r="F101" s="160"/>
      <c r="G101" s="160"/>
      <c r="H101" s="160"/>
      <c r="I101" s="160"/>
      <c r="J101" s="160"/>
    </row>
    <row r="102" spans="1:10" x14ac:dyDescent="0.25">
      <c r="B102" s="54"/>
      <c r="C102" s="54"/>
      <c r="D102" s="54"/>
      <c r="E102" s="54"/>
      <c r="F102" s="54"/>
      <c r="G102" s="54"/>
      <c r="H102" s="54"/>
      <c r="I102" s="54"/>
      <c r="J102" s="54"/>
    </row>
    <row r="103" spans="1:10" x14ac:dyDescent="0.25">
      <c r="B103" s="108"/>
      <c r="C103" s="108"/>
      <c r="D103" s="108"/>
      <c r="E103" s="108"/>
      <c r="F103" s="108"/>
      <c r="G103" s="108"/>
      <c r="H103" s="108"/>
      <c r="I103" s="108"/>
      <c r="J103" s="108"/>
    </row>
    <row r="104" spans="1:10" x14ac:dyDescent="0.25">
      <c r="B104" s="54"/>
      <c r="C104" s="54"/>
      <c r="D104" s="54"/>
      <c r="E104" s="54"/>
      <c r="F104" s="54"/>
      <c r="G104" s="54"/>
      <c r="H104" s="54"/>
      <c r="I104" s="54"/>
      <c r="J104" s="54"/>
    </row>
    <row r="105" spans="1:10" x14ac:dyDescent="0.25">
      <c r="A105" s="10"/>
      <c r="B105" s="55"/>
      <c r="C105" s="55"/>
      <c r="D105" s="55"/>
      <c r="E105" s="55"/>
      <c r="F105" s="55"/>
      <c r="G105" s="55"/>
      <c r="H105" s="55"/>
      <c r="I105" s="55"/>
      <c r="J105" s="55"/>
    </row>
    <row r="107" spans="1:10" x14ac:dyDescent="0.25">
      <c r="A107" s="34" t="s">
        <v>388</v>
      </c>
      <c r="B107" s="35" t="s">
        <v>165</v>
      </c>
    </row>
    <row r="108" spans="1:10" ht="26.25" customHeight="1" x14ac:dyDescent="0.25">
      <c r="B108" s="160" t="s">
        <v>462</v>
      </c>
      <c r="C108" s="160"/>
      <c r="D108" s="160"/>
      <c r="E108" s="160"/>
      <c r="F108" s="160"/>
      <c r="G108" s="160"/>
      <c r="H108" s="160"/>
      <c r="I108" s="160"/>
      <c r="J108" s="160"/>
    </row>
    <row r="109" spans="1:10" x14ac:dyDescent="0.25">
      <c r="B109" s="59"/>
      <c r="C109" s="59"/>
      <c r="D109" s="59"/>
      <c r="E109" s="59"/>
      <c r="F109" s="59"/>
      <c r="G109" s="59"/>
      <c r="H109" s="59"/>
      <c r="I109" s="59"/>
      <c r="J109" s="59"/>
    </row>
    <row r="110" spans="1:10" ht="15" customHeight="1" x14ac:dyDescent="0.25">
      <c r="B110" s="59"/>
      <c r="C110" s="59"/>
      <c r="D110" s="59"/>
      <c r="E110" s="59"/>
      <c r="F110" s="59"/>
      <c r="G110" s="59"/>
      <c r="H110" s="59"/>
      <c r="I110" s="59"/>
      <c r="J110" s="59"/>
    </row>
    <row r="111" spans="1:10" x14ac:dyDescent="0.25">
      <c r="A111" s="111" t="s">
        <v>394</v>
      </c>
      <c r="B111" s="112" t="s">
        <v>187</v>
      </c>
      <c r="C111" s="113"/>
    </row>
    <row r="112" spans="1:10" x14ac:dyDescent="0.25">
      <c r="A112" s="114"/>
      <c r="B112" s="115" t="s">
        <v>188</v>
      </c>
      <c r="C112" s="113"/>
    </row>
  </sheetData>
  <mergeCells count="32">
    <mergeCell ref="B108:J108"/>
    <mergeCell ref="B101:J101"/>
    <mergeCell ref="B93:J93"/>
    <mergeCell ref="B96:J96"/>
    <mergeCell ref="B98:J98"/>
    <mergeCell ref="B95:J95"/>
    <mergeCell ref="B50:J50"/>
    <mergeCell ref="B7:J7"/>
    <mergeCell ref="B15:J15"/>
    <mergeCell ref="B18:J18"/>
    <mergeCell ref="B20:J20"/>
    <mergeCell ref="B22:J22"/>
    <mergeCell ref="B24:J24"/>
    <mergeCell ref="B26:J26"/>
    <mergeCell ref="B28:J28"/>
    <mergeCell ref="B33:J33"/>
    <mergeCell ref="B44:J44"/>
    <mergeCell ref="B47:J47"/>
    <mergeCell ref="B74:J74"/>
    <mergeCell ref="B81:J81"/>
    <mergeCell ref="B84:J84"/>
    <mergeCell ref="B90:J90"/>
    <mergeCell ref="B87:J87"/>
    <mergeCell ref="B76:J76"/>
    <mergeCell ref="B58:J58"/>
    <mergeCell ref="B59:J59"/>
    <mergeCell ref="B62:J62"/>
    <mergeCell ref="B53:J53"/>
    <mergeCell ref="B54:J54"/>
    <mergeCell ref="B55:J55"/>
    <mergeCell ref="B56:J56"/>
    <mergeCell ref="B57:J57"/>
  </mergeCells>
  <pageMargins left="0.39370078740157483" right="0.39370078740157483" top="0.74803149606299213" bottom="0.74803149606299213" header="0.31496062992125984" footer="0.31496062992125984"/>
  <pageSetup paperSize="9" firstPageNumber="14" orientation="portrait" useFirstPageNumber="1" r:id="rId1"/>
  <headerFooter>
    <oddHeader>&amp;L&amp;"-,Bold"GAUTENG CYCLING ASSOCIATION
Annual financial statements for the year ended 31 December 2017
Notes to the annual financial statements</oddHeader>
    <oddFooter>&amp;CPage &amp;P</oddFooter>
  </headerFooter>
  <customProperties>
    <customPr name="_pios_id" r:id="rId2"/>
  </customProperties>
  <ignoredErrors>
    <ignoredError sqref="A111"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1:N122"/>
  <sheetViews>
    <sheetView view="pageLayout" topLeftCell="A58" zoomScaleNormal="100" workbookViewId="0">
      <selection activeCell="F17" sqref="F17"/>
    </sheetView>
  </sheetViews>
  <sheetFormatPr defaultRowHeight="15" x14ac:dyDescent="0.25"/>
  <cols>
    <col min="1" max="1" width="2.7109375" style="12" customWidth="1"/>
    <col min="2" max="4" width="9.140625" style="2"/>
    <col min="5" max="5" width="26.140625" style="2" customWidth="1"/>
    <col min="6" max="6" width="19.28515625" style="2" customWidth="1"/>
    <col min="7" max="7" width="8.7109375" style="2" customWidth="1"/>
    <col min="8" max="8" width="2.140625" style="2" customWidth="1"/>
    <col min="9" max="9" width="8.7109375" style="2" customWidth="1"/>
    <col min="10" max="16384" width="9.140625" style="2"/>
  </cols>
  <sheetData>
    <row r="1" spans="1:14" x14ac:dyDescent="0.25">
      <c r="A1" s="10"/>
      <c r="B1" s="3"/>
      <c r="C1" s="3"/>
      <c r="D1" s="3"/>
      <c r="E1" s="3"/>
      <c r="F1" s="3"/>
      <c r="G1" s="3"/>
      <c r="H1" s="3"/>
      <c r="I1" s="3"/>
      <c r="J1" s="6"/>
      <c r="K1" s="6"/>
      <c r="L1" s="6"/>
      <c r="M1" s="6"/>
      <c r="N1" s="6"/>
    </row>
    <row r="2" spans="1:14" x14ac:dyDescent="0.25">
      <c r="A2" s="41" t="s">
        <v>119</v>
      </c>
      <c r="B2" s="42"/>
      <c r="C2" s="42"/>
      <c r="D2" s="42"/>
      <c r="E2" s="42"/>
      <c r="F2" s="42"/>
      <c r="G2" s="42">
        <v>2017</v>
      </c>
      <c r="H2" s="42"/>
      <c r="I2" s="42">
        <v>2016</v>
      </c>
      <c r="J2" s="6"/>
      <c r="K2" s="6"/>
      <c r="L2" s="6"/>
      <c r="M2" s="6"/>
      <c r="N2" s="6"/>
    </row>
    <row r="3" spans="1:14" x14ac:dyDescent="0.25">
      <c r="J3" s="6"/>
      <c r="K3" s="6"/>
      <c r="L3" s="6"/>
      <c r="M3" s="6"/>
      <c r="N3" s="6"/>
    </row>
    <row r="4" spans="1:14" x14ac:dyDescent="0.25">
      <c r="A4" s="34" t="s">
        <v>39</v>
      </c>
      <c r="B4" s="35" t="s">
        <v>56</v>
      </c>
      <c r="I4" s="30"/>
    </row>
    <row r="5" spans="1:14" x14ac:dyDescent="0.25">
      <c r="B5" s="27" t="s">
        <v>121</v>
      </c>
      <c r="I5" s="30"/>
    </row>
    <row r="6" spans="1:14" ht="6" customHeight="1" x14ac:dyDescent="0.25">
      <c r="B6" s="27"/>
      <c r="I6" s="30"/>
    </row>
    <row r="7" spans="1:14" x14ac:dyDescent="0.25">
      <c r="B7" s="27" t="s">
        <v>122</v>
      </c>
      <c r="G7" s="30">
        <v>0</v>
      </c>
      <c r="I7" s="30">
        <v>0</v>
      </c>
    </row>
    <row r="8" spans="1:14" x14ac:dyDescent="0.25">
      <c r="B8" s="27" t="s">
        <v>123</v>
      </c>
      <c r="G8" s="30">
        <f>GC_TB_2017!G6</f>
        <v>406</v>
      </c>
      <c r="I8" s="30">
        <f>GC_TB_2016!G6</f>
        <v>12001</v>
      </c>
    </row>
    <row r="9" spans="1:14" ht="15.75" thickBot="1" x14ac:dyDescent="0.3">
      <c r="G9" s="31">
        <f>SUM(G7:G8)</f>
        <v>406</v>
      </c>
      <c r="I9" s="31">
        <f>SUM(I7:I8)</f>
        <v>12001</v>
      </c>
    </row>
    <row r="10" spans="1:14" ht="15" customHeight="1" x14ac:dyDescent="0.25">
      <c r="B10" s="167" t="s">
        <v>599</v>
      </c>
      <c r="C10" s="167"/>
      <c r="D10" s="167"/>
      <c r="E10" s="167"/>
      <c r="F10" s="167"/>
      <c r="G10" s="86"/>
      <c r="I10" s="32"/>
    </row>
    <row r="11" spans="1:14" x14ac:dyDescent="0.25">
      <c r="I11" s="32"/>
    </row>
    <row r="12" spans="1:14" x14ac:dyDescent="0.25">
      <c r="A12" s="34" t="s">
        <v>46</v>
      </c>
      <c r="B12" s="35" t="s">
        <v>57</v>
      </c>
      <c r="J12" s="6"/>
      <c r="K12" s="6"/>
      <c r="L12" s="6"/>
      <c r="M12" s="6"/>
      <c r="N12" s="6"/>
    </row>
    <row r="13" spans="1:14" x14ac:dyDescent="0.25">
      <c r="B13" s="27" t="s">
        <v>120</v>
      </c>
      <c r="G13" s="30">
        <f>GC_TB_2017!G5</f>
        <v>0</v>
      </c>
      <c r="I13" s="30">
        <f>GC_TB_2016!G5</f>
        <v>0</v>
      </c>
      <c r="J13" s="6"/>
      <c r="K13" s="6"/>
      <c r="L13" s="6"/>
      <c r="M13" s="6"/>
      <c r="N13" s="6"/>
    </row>
    <row r="14" spans="1:14" x14ac:dyDescent="0.25">
      <c r="B14" s="27" t="s">
        <v>600</v>
      </c>
      <c r="G14" s="30">
        <v>0</v>
      </c>
      <c r="I14" s="30">
        <v>0</v>
      </c>
      <c r="J14" s="6"/>
      <c r="K14" s="6"/>
      <c r="L14" s="6"/>
      <c r="M14" s="6"/>
      <c r="N14" s="6"/>
    </row>
    <row r="15" spans="1:14" x14ac:dyDescent="0.25">
      <c r="G15" s="140">
        <f>SUM(G13:G14)</f>
        <v>0</v>
      </c>
      <c r="I15" s="140">
        <f>SUM(I13:I14)</f>
        <v>0</v>
      </c>
    </row>
    <row r="16" spans="1:14" x14ac:dyDescent="0.25">
      <c r="B16" s="27" t="s">
        <v>601</v>
      </c>
      <c r="G16" s="89">
        <v>0</v>
      </c>
      <c r="H16" s="6"/>
      <c r="I16" s="32">
        <v>0</v>
      </c>
    </row>
    <row r="17" spans="1:9" ht="15.75" thickBot="1" x14ac:dyDescent="0.3">
      <c r="G17" s="87">
        <f>SUM(G15:G16)</f>
        <v>0</v>
      </c>
      <c r="H17" s="6"/>
      <c r="I17" s="31">
        <f>I15-I16</f>
        <v>0</v>
      </c>
    </row>
    <row r="18" spans="1:9" ht="57.75" customHeight="1" x14ac:dyDescent="0.25">
      <c r="A18" s="38" t="s">
        <v>433</v>
      </c>
      <c r="B18" s="167" t="s">
        <v>602</v>
      </c>
      <c r="C18" s="167"/>
      <c r="D18" s="167"/>
      <c r="E18" s="167"/>
      <c r="F18" s="167"/>
      <c r="G18" s="86"/>
      <c r="I18" s="32"/>
    </row>
    <row r="19" spans="1:9" x14ac:dyDescent="0.25">
      <c r="I19" s="32"/>
    </row>
    <row r="20" spans="1:9" x14ac:dyDescent="0.25">
      <c r="A20" s="34" t="s">
        <v>49</v>
      </c>
      <c r="B20" s="35" t="s">
        <v>60</v>
      </c>
      <c r="I20" s="30"/>
    </row>
    <row r="21" spans="1:9" x14ac:dyDescent="0.25">
      <c r="B21" s="27" t="s">
        <v>603</v>
      </c>
      <c r="G21" s="30">
        <v>0</v>
      </c>
      <c r="I21" s="30">
        <v>0</v>
      </c>
    </row>
    <row r="22" spans="1:9" x14ac:dyDescent="0.25">
      <c r="B22" s="27" t="s">
        <v>604</v>
      </c>
      <c r="G22" s="30">
        <v>0</v>
      </c>
      <c r="I22" s="30">
        <v>12082.24</v>
      </c>
    </row>
    <row r="23" spans="1:9" x14ac:dyDescent="0.25">
      <c r="B23" s="27" t="s">
        <v>605</v>
      </c>
      <c r="G23" s="30">
        <v>0</v>
      </c>
      <c r="I23" s="30">
        <v>0</v>
      </c>
    </row>
    <row r="24" spans="1:9" x14ac:dyDescent="0.25">
      <c r="B24" s="27" t="s">
        <v>606</v>
      </c>
      <c r="G24" s="30">
        <v>0</v>
      </c>
      <c r="I24" s="30">
        <v>0</v>
      </c>
    </row>
    <row r="25" spans="1:9" x14ac:dyDescent="0.25">
      <c r="B25" s="27" t="s">
        <v>607</v>
      </c>
      <c r="G25" s="30">
        <v>0</v>
      </c>
      <c r="I25" s="30">
        <v>0</v>
      </c>
    </row>
    <row r="26" spans="1:9" x14ac:dyDescent="0.25">
      <c r="B26" s="27" t="s">
        <v>124</v>
      </c>
      <c r="G26" s="30">
        <v>0</v>
      </c>
      <c r="I26" s="30">
        <v>0</v>
      </c>
    </row>
    <row r="27" spans="1:9" x14ac:dyDescent="0.25">
      <c r="B27" s="27" t="s">
        <v>125</v>
      </c>
      <c r="G27" s="30">
        <v>0</v>
      </c>
      <c r="I27" s="30">
        <v>0</v>
      </c>
    </row>
    <row r="28" spans="1:9" x14ac:dyDescent="0.25">
      <c r="B28" s="27" t="s">
        <v>608</v>
      </c>
      <c r="G28" s="30">
        <v>2910</v>
      </c>
      <c r="I28" s="30">
        <v>760</v>
      </c>
    </row>
    <row r="29" spans="1:9" ht="15.75" thickBot="1" x14ac:dyDescent="0.3">
      <c r="G29" s="33">
        <f>SUM(G21:G28)</f>
        <v>2910</v>
      </c>
      <c r="I29" s="33">
        <f>SUM(I21:I28)</f>
        <v>12842.24</v>
      </c>
    </row>
    <row r="30" spans="1:9" ht="59.25" customHeight="1" x14ac:dyDescent="0.25">
      <c r="A30" s="38" t="s">
        <v>193</v>
      </c>
      <c r="B30" s="167" t="s">
        <v>630</v>
      </c>
      <c r="C30" s="167"/>
      <c r="D30" s="167"/>
      <c r="E30" s="167"/>
      <c r="F30" s="167"/>
      <c r="I30" s="27"/>
    </row>
    <row r="31" spans="1:9" x14ac:dyDescent="0.25">
      <c r="I31" s="27"/>
    </row>
    <row r="32" spans="1:9" x14ac:dyDescent="0.25">
      <c r="A32" s="34" t="s">
        <v>52</v>
      </c>
      <c r="B32" s="35" t="s">
        <v>61</v>
      </c>
      <c r="I32" s="27"/>
    </row>
    <row r="33" spans="1:9" x14ac:dyDescent="0.25">
      <c r="B33" s="27" t="s">
        <v>609</v>
      </c>
      <c r="C33" s="27"/>
      <c r="D33" s="27"/>
      <c r="E33" s="27"/>
      <c r="F33" s="27"/>
      <c r="G33" s="30">
        <f>SUM(G34:G35)</f>
        <v>18000</v>
      </c>
      <c r="H33" s="30"/>
      <c r="I33" s="30">
        <f>SUM(I34:I35)</f>
        <v>36247</v>
      </c>
    </row>
    <row r="34" spans="1:9" ht="25.5" customHeight="1" x14ac:dyDescent="0.25">
      <c r="B34" s="168" t="s">
        <v>610</v>
      </c>
      <c r="C34" s="168"/>
      <c r="D34" s="168"/>
      <c r="E34" s="168"/>
      <c r="F34" s="169"/>
      <c r="G34" s="141">
        <v>0</v>
      </c>
      <c r="H34" s="30"/>
      <c r="I34" s="141">
        <f>-GC_TB_2016!G9</f>
        <v>36247</v>
      </c>
    </row>
    <row r="35" spans="1:9" ht="25.5" customHeight="1" x14ac:dyDescent="0.25">
      <c r="B35" s="168" t="s">
        <v>611</v>
      </c>
      <c r="C35" s="168"/>
      <c r="D35" s="168"/>
      <c r="E35" s="168"/>
      <c r="F35" s="169"/>
      <c r="G35" s="142">
        <f>-GC_TB_2017!G9</f>
        <v>18000</v>
      </c>
      <c r="H35" s="30"/>
      <c r="I35" s="142">
        <v>0</v>
      </c>
    </row>
    <row r="36" spans="1:9" x14ac:dyDescent="0.25">
      <c r="B36" s="27" t="s">
        <v>161</v>
      </c>
      <c r="C36" s="27"/>
      <c r="D36" s="27"/>
      <c r="E36" s="27"/>
      <c r="F36" s="27"/>
      <c r="G36" s="30">
        <v>0</v>
      </c>
      <c r="H36" s="30"/>
      <c r="I36" s="30">
        <v>0</v>
      </c>
    </row>
    <row r="37" spans="1:9" x14ac:dyDescent="0.25">
      <c r="B37" s="74" t="s">
        <v>434</v>
      </c>
      <c r="C37" s="27"/>
      <c r="D37" s="27"/>
      <c r="E37" s="27"/>
      <c r="F37" s="27"/>
      <c r="G37" s="89">
        <v>0</v>
      </c>
      <c r="H37" s="30"/>
      <c r="I37" s="89">
        <v>0</v>
      </c>
    </row>
    <row r="38" spans="1:9" x14ac:dyDescent="0.25">
      <c r="B38" s="74" t="s">
        <v>435</v>
      </c>
      <c r="C38" s="27"/>
      <c r="D38" s="27"/>
      <c r="E38" s="27"/>
      <c r="F38" s="27"/>
      <c r="G38" s="89">
        <v>0</v>
      </c>
      <c r="H38" s="30"/>
      <c r="I38" s="89">
        <v>0</v>
      </c>
    </row>
    <row r="39" spans="1:9" x14ac:dyDescent="0.25">
      <c r="B39" s="74" t="s">
        <v>391</v>
      </c>
      <c r="C39" s="27"/>
      <c r="D39" s="27"/>
      <c r="E39" s="27"/>
      <c r="F39" s="27"/>
      <c r="G39" s="89">
        <v>0</v>
      </c>
      <c r="H39" s="30"/>
      <c r="I39" s="89">
        <v>0</v>
      </c>
    </row>
    <row r="40" spans="1:9" x14ac:dyDescent="0.25">
      <c r="B40" s="27" t="s">
        <v>182</v>
      </c>
      <c r="C40" s="27"/>
      <c r="D40" s="27"/>
      <c r="E40" s="27"/>
      <c r="F40" s="27"/>
      <c r="G40" s="30">
        <v>0</v>
      </c>
      <c r="H40" s="30"/>
      <c r="I40" s="30">
        <v>0</v>
      </c>
    </row>
    <row r="41" spans="1:9" ht="15" customHeight="1" x14ac:dyDescent="0.25">
      <c r="B41" s="160" t="s">
        <v>612</v>
      </c>
      <c r="C41" s="160"/>
      <c r="D41" s="160"/>
      <c r="E41" s="160"/>
      <c r="F41" s="160"/>
      <c r="G41" s="90">
        <v>0</v>
      </c>
      <c r="H41" s="90"/>
      <c r="I41" s="30">
        <v>0</v>
      </c>
    </row>
    <row r="42" spans="1:9" ht="15.75" thickBot="1" x14ac:dyDescent="0.3">
      <c r="B42" s="29"/>
      <c r="C42" s="27"/>
      <c r="D42" s="27"/>
      <c r="E42" s="27"/>
      <c r="F42" s="27"/>
      <c r="G42" s="31">
        <f>SUM(G33,G36,G37,G38,G39,G40:G41)</f>
        <v>18000</v>
      </c>
      <c r="H42" s="30"/>
      <c r="I42" s="31">
        <f>SUM(I33,I36,I37,I38,I39,I40:I41)</f>
        <v>36247</v>
      </c>
    </row>
    <row r="43" spans="1:9" ht="24.75" customHeight="1" x14ac:dyDescent="0.25">
      <c r="A43" s="38" t="s">
        <v>193</v>
      </c>
      <c r="B43" s="167" t="s">
        <v>613</v>
      </c>
      <c r="C43" s="167"/>
      <c r="D43" s="167"/>
      <c r="E43" s="167"/>
      <c r="F43" s="167"/>
      <c r="G43" s="90"/>
      <c r="H43" s="30"/>
      <c r="I43" s="32"/>
    </row>
    <row r="44" spans="1:9" ht="15" customHeight="1" x14ac:dyDescent="0.25">
      <c r="A44" s="38"/>
      <c r="B44" s="133"/>
      <c r="C44" s="133"/>
      <c r="D44" s="133"/>
      <c r="E44" s="133"/>
      <c r="F44" s="133"/>
      <c r="G44" s="90"/>
      <c r="H44" s="30"/>
      <c r="I44" s="32"/>
    </row>
    <row r="45" spans="1:9" x14ac:dyDescent="0.25">
      <c r="A45" s="41" t="s">
        <v>119</v>
      </c>
      <c r="B45" s="42"/>
      <c r="C45" s="42"/>
      <c r="D45" s="42"/>
      <c r="E45" s="42"/>
      <c r="F45" s="42"/>
      <c r="G45" s="42">
        <v>2017</v>
      </c>
      <c r="H45" s="42"/>
      <c r="I45" s="42">
        <v>2016</v>
      </c>
    </row>
    <row r="46" spans="1:9" x14ac:dyDescent="0.25">
      <c r="G46" s="92"/>
      <c r="H46" s="92"/>
      <c r="I46" s="92"/>
    </row>
    <row r="47" spans="1:9" x14ac:dyDescent="0.25">
      <c r="A47" s="34" t="s">
        <v>133</v>
      </c>
      <c r="B47" s="35" t="s">
        <v>135</v>
      </c>
      <c r="G47" s="92"/>
      <c r="H47" s="92"/>
      <c r="I47" s="92"/>
    </row>
    <row r="48" spans="1:9" x14ac:dyDescent="0.25">
      <c r="A48" s="36"/>
      <c r="B48" s="27" t="s">
        <v>619</v>
      </c>
      <c r="C48" s="27"/>
      <c r="D48" s="27"/>
      <c r="E48" s="27"/>
      <c r="F48" s="27"/>
      <c r="G48" s="30">
        <v>18000</v>
      </c>
      <c r="H48" s="30"/>
      <c r="I48" s="30">
        <v>36247</v>
      </c>
    </row>
    <row r="49" spans="1:9" x14ac:dyDescent="0.25">
      <c r="A49" s="36"/>
      <c r="B49" s="27" t="s">
        <v>616</v>
      </c>
      <c r="C49" s="27"/>
      <c r="D49" s="27"/>
      <c r="E49" s="27"/>
      <c r="F49" s="27"/>
      <c r="G49" s="30">
        <v>0</v>
      </c>
      <c r="H49" s="30"/>
      <c r="I49" s="30">
        <v>0</v>
      </c>
    </row>
    <row r="50" spans="1:9" x14ac:dyDescent="0.25">
      <c r="A50" s="36"/>
      <c r="B50" s="27" t="s">
        <v>617</v>
      </c>
      <c r="C50" s="27"/>
      <c r="D50" s="27"/>
      <c r="E50" s="27"/>
      <c r="F50" s="27"/>
      <c r="G50" s="30">
        <v>0</v>
      </c>
      <c r="H50" s="30"/>
      <c r="I50" s="30">
        <v>0</v>
      </c>
    </row>
    <row r="51" spans="1:9" x14ac:dyDescent="0.25">
      <c r="A51" s="36"/>
      <c r="B51" s="27" t="s">
        <v>618</v>
      </c>
      <c r="C51" s="27"/>
      <c r="D51" s="27"/>
      <c r="E51" s="27"/>
      <c r="F51" s="27"/>
      <c r="G51" s="30">
        <v>0</v>
      </c>
      <c r="H51" s="30"/>
      <c r="I51" s="30">
        <v>0</v>
      </c>
    </row>
    <row r="52" spans="1:9" x14ac:dyDescent="0.25">
      <c r="A52" s="36"/>
      <c r="B52" s="27" t="s">
        <v>436</v>
      </c>
      <c r="C52" s="27"/>
      <c r="D52" s="27"/>
      <c r="E52" s="27"/>
      <c r="F52" s="27"/>
      <c r="G52" s="30">
        <v>0</v>
      </c>
      <c r="H52" s="30"/>
      <c r="I52" s="30">
        <v>0</v>
      </c>
    </row>
    <row r="53" spans="1:9" x14ac:dyDescent="0.25">
      <c r="A53" s="36"/>
      <c r="B53" s="27" t="s">
        <v>615</v>
      </c>
      <c r="C53" s="27"/>
      <c r="D53" s="27"/>
      <c r="E53" s="27"/>
      <c r="F53" s="27"/>
      <c r="G53" s="30">
        <v>0</v>
      </c>
      <c r="H53" s="30"/>
      <c r="I53" s="30">
        <v>0</v>
      </c>
    </row>
    <row r="54" spans="1:9" x14ac:dyDescent="0.25">
      <c r="A54" s="36"/>
      <c r="B54" s="27" t="s">
        <v>620</v>
      </c>
      <c r="C54" s="27"/>
      <c r="D54" s="27"/>
      <c r="E54" s="27"/>
      <c r="F54" s="27"/>
      <c r="G54" s="30">
        <v>0</v>
      </c>
      <c r="H54" s="30"/>
      <c r="I54" s="30">
        <v>0</v>
      </c>
    </row>
    <row r="55" spans="1:9" x14ac:dyDescent="0.25">
      <c r="A55" s="36"/>
      <c r="B55" s="27" t="s">
        <v>392</v>
      </c>
      <c r="C55" s="27"/>
      <c r="D55" s="27"/>
      <c r="E55" s="27"/>
      <c r="F55" s="27"/>
      <c r="G55" s="30">
        <v>0</v>
      </c>
      <c r="H55" s="30"/>
      <c r="I55" s="30">
        <v>0</v>
      </c>
    </row>
    <row r="56" spans="1:9" x14ac:dyDescent="0.25">
      <c r="A56" s="36"/>
      <c r="B56" s="27" t="s">
        <v>614</v>
      </c>
      <c r="C56" s="27"/>
      <c r="D56" s="27"/>
      <c r="E56" s="27"/>
      <c r="F56" s="27"/>
      <c r="G56" s="30">
        <v>0</v>
      </c>
      <c r="H56" s="30"/>
      <c r="I56" s="30">
        <v>0</v>
      </c>
    </row>
    <row r="57" spans="1:9" ht="15.75" thickBot="1" x14ac:dyDescent="0.3">
      <c r="A57" s="36"/>
      <c r="B57" s="27"/>
      <c r="C57" s="27"/>
      <c r="D57" s="27"/>
      <c r="E57" s="27"/>
      <c r="F57" s="27"/>
      <c r="G57" s="31">
        <f>SUM(G48:G56)</f>
        <v>18000</v>
      </c>
      <c r="H57" s="30"/>
      <c r="I57" s="31">
        <f>SUM(I48:I56)</f>
        <v>36247</v>
      </c>
    </row>
    <row r="58" spans="1:9" ht="15" customHeight="1" x14ac:dyDescent="0.25">
      <c r="A58" s="38"/>
      <c r="B58" s="54"/>
      <c r="C58" s="54"/>
      <c r="D58" s="54"/>
      <c r="E58" s="54"/>
      <c r="F58" s="62"/>
      <c r="G58" s="91"/>
      <c r="H58" s="91"/>
      <c r="I58" s="91"/>
    </row>
    <row r="59" spans="1:9" x14ac:dyDescent="0.25">
      <c r="A59" s="34" t="s">
        <v>134</v>
      </c>
      <c r="B59" s="35" t="s">
        <v>62</v>
      </c>
      <c r="G59" s="92"/>
      <c r="H59" s="92"/>
      <c r="I59" s="92"/>
    </row>
    <row r="60" spans="1:9" ht="15.75" thickBot="1" x14ac:dyDescent="0.3">
      <c r="A60" s="13"/>
      <c r="B60" s="27" t="s">
        <v>151</v>
      </c>
      <c r="C60" s="27"/>
      <c r="D60" s="27"/>
      <c r="E60" s="27"/>
      <c r="F60" s="27"/>
      <c r="G60" s="31">
        <v>0</v>
      </c>
      <c r="H60" s="30"/>
      <c r="I60" s="31">
        <v>0</v>
      </c>
    </row>
    <row r="61" spans="1:9" ht="6" customHeight="1" x14ac:dyDescent="0.25">
      <c r="A61" s="13"/>
      <c r="B61" s="27"/>
      <c r="C61" s="27"/>
      <c r="D61" s="27"/>
      <c r="E61" s="27"/>
      <c r="F61" s="27"/>
      <c r="G61" s="30"/>
      <c r="H61" s="30"/>
      <c r="I61" s="30"/>
    </row>
    <row r="62" spans="1:9" ht="22.5" customHeight="1" x14ac:dyDescent="0.25">
      <c r="B62" s="167" t="s">
        <v>621</v>
      </c>
      <c r="C62" s="167"/>
      <c r="D62" s="167"/>
      <c r="E62" s="167"/>
      <c r="F62" s="167"/>
      <c r="G62" s="90"/>
      <c r="H62" s="90"/>
      <c r="I62" s="90"/>
    </row>
    <row r="63" spans="1:9" x14ac:dyDescent="0.25">
      <c r="B63" s="76"/>
      <c r="C63" s="76"/>
      <c r="D63" s="76"/>
      <c r="E63" s="76"/>
      <c r="F63" s="76"/>
      <c r="G63" s="90"/>
      <c r="H63" s="90"/>
      <c r="I63" s="90"/>
    </row>
    <row r="64" spans="1:9" x14ac:dyDescent="0.25">
      <c r="A64" s="34" t="s">
        <v>136</v>
      </c>
      <c r="B64" s="35" t="s">
        <v>69</v>
      </c>
      <c r="G64" s="92"/>
      <c r="H64" s="92"/>
      <c r="I64" s="92"/>
    </row>
    <row r="65" spans="1:9" x14ac:dyDescent="0.25">
      <c r="B65" s="27" t="s">
        <v>160</v>
      </c>
      <c r="C65" s="27"/>
      <c r="D65" s="27"/>
      <c r="E65" s="27"/>
      <c r="F65" s="27"/>
      <c r="G65" s="30">
        <f>GC_TB_2017!G14</f>
        <v>1662</v>
      </c>
      <c r="H65" s="30"/>
      <c r="I65" s="89">
        <f>GC_TB_2016!G14</f>
        <v>841</v>
      </c>
    </row>
    <row r="66" spans="1:9" x14ac:dyDescent="0.25">
      <c r="B66" s="27" t="s">
        <v>622</v>
      </c>
      <c r="C66" s="27"/>
      <c r="D66" s="27"/>
      <c r="E66" s="27"/>
      <c r="F66" s="27"/>
      <c r="G66" s="30">
        <v>0</v>
      </c>
      <c r="H66" s="30"/>
      <c r="I66" s="32">
        <v>0</v>
      </c>
    </row>
    <row r="67" spans="1:9" x14ac:dyDescent="0.25">
      <c r="B67" s="27" t="s">
        <v>623</v>
      </c>
      <c r="C67" s="27"/>
      <c r="D67" s="27"/>
      <c r="E67" s="27"/>
      <c r="F67" s="27"/>
      <c r="G67" s="30">
        <v>0</v>
      </c>
      <c r="H67" s="30"/>
      <c r="I67" s="32">
        <v>0</v>
      </c>
    </row>
    <row r="68" spans="1:9" x14ac:dyDescent="0.25">
      <c r="B68" s="27" t="s">
        <v>463</v>
      </c>
      <c r="C68" s="27"/>
      <c r="D68" s="27"/>
      <c r="E68" s="27"/>
      <c r="F68" s="27"/>
      <c r="G68" s="30">
        <v>0</v>
      </c>
      <c r="H68" s="30"/>
      <c r="I68" s="32">
        <v>0</v>
      </c>
    </row>
    <row r="69" spans="1:9" x14ac:dyDescent="0.25">
      <c r="B69" s="27" t="s">
        <v>432</v>
      </c>
      <c r="C69" s="27"/>
      <c r="D69" s="27"/>
      <c r="E69" s="27"/>
      <c r="F69" s="27"/>
      <c r="G69" s="30">
        <v>0</v>
      </c>
      <c r="H69" s="30"/>
      <c r="I69" s="32">
        <v>0</v>
      </c>
    </row>
    <row r="70" spans="1:9" ht="15.75" thickBot="1" x14ac:dyDescent="0.3">
      <c r="B70" s="27"/>
      <c r="C70" s="27"/>
      <c r="D70" s="27"/>
      <c r="E70" s="27"/>
      <c r="F70" s="27"/>
      <c r="G70" s="31">
        <f>SUM(G65:G69)</f>
        <v>1662</v>
      </c>
      <c r="H70" s="30"/>
      <c r="I70" s="31">
        <f>SUM(I65:I69)</f>
        <v>841</v>
      </c>
    </row>
    <row r="71" spans="1:9" x14ac:dyDescent="0.25">
      <c r="G71" s="92"/>
      <c r="H71" s="92"/>
      <c r="I71" s="92"/>
    </row>
    <row r="72" spans="1:9" x14ac:dyDescent="0.25">
      <c r="A72" s="34" t="s">
        <v>137</v>
      </c>
      <c r="B72" s="35" t="s">
        <v>393</v>
      </c>
      <c r="G72" s="92"/>
      <c r="H72" s="92"/>
      <c r="I72" s="92"/>
    </row>
    <row r="73" spans="1:9" ht="25.5" customHeight="1" x14ac:dyDescent="0.25">
      <c r="B73" s="167" t="s">
        <v>624</v>
      </c>
      <c r="C73" s="167"/>
      <c r="D73" s="167"/>
      <c r="E73" s="167"/>
      <c r="F73" s="167"/>
      <c r="G73" s="92"/>
      <c r="H73" s="92"/>
      <c r="I73" s="92"/>
    </row>
    <row r="74" spans="1:9" ht="15.75" thickBot="1" x14ac:dyDescent="0.3">
      <c r="G74" s="31">
        <v>0</v>
      </c>
      <c r="H74" s="30"/>
      <c r="I74" s="31">
        <v>0</v>
      </c>
    </row>
    <row r="75" spans="1:9" x14ac:dyDescent="0.25">
      <c r="G75" s="92"/>
      <c r="H75" s="92"/>
      <c r="I75" s="92"/>
    </row>
    <row r="76" spans="1:9" x14ac:dyDescent="0.25">
      <c r="A76" s="34" t="s">
        <v>137</v>
      </c>
      <c r="B76" s="35" t="s">
        <v>126</v>
      </c>
      <c r="G76" s="92"/>
      <c r="H76" s="92"/>
      <c r="I76" s="92"/>
    </row>
    <row r="77" spans="1:9" x14ac:dyDescent="0.25">
      <c r="B77" s="27" t="s">
        <v>127</v>
      </c>
      <c r="C77" s="27"/>
      <c r="D77" s="27"/>
      <c r="E77" s="27"/>
      <c r="F77" s="27"/>
      <c r="G77" s="30">
        <f>SOCI!H18</f>
        <v>-1663</v>
      </c>
      <c r="H77" s="30"/>
      <c r="I77" s="30">
        <f>SOCI!J18</f>
        <v>-841</v>
      </c>
    </row>
    <row r="78" spans="1:9" x14ac:dyDescent="0.25">
      <c r="B78" s="40" t="s">
        <v>128</v>
      </c>
      <c r="C78" s="27"/>
      <c r="D78" s="27"/>
      <c r="E78" s="27"/>
      <c r="F78" s="27"/>
      <c r="G78" s="30"/>
      <c r="H78" s="30"/>
      <c r="I78" s="30"/>
    </row>
    <row r="79" spans="1:9" x14ac:dyDescent="0.25">
      <c r="B79" s="27" t="s">
        <v>129</v>
      </c>
      <c r="C79" s="27"/>
      <c r="D79" s="27"/>
      <c r="E79" s="27"/>
      <c r="F79" s="27"/>
      <c r="G79" s="30">
        <v>0</v>
      </c>
      <c r="H79" s="30"/>
      <c r="I79" s="30">
        <v>0</v>
      </c>
    </row>
    <row r="80" spans="1:9" x14ac:dyDescent="0.25">
      <c r="B80" s="27" t="s">
        <v>432</v>
      </c>
      <c r="C80" s="27"/>
      <c r="D80" s="27"/>
      <c r="E80" s="27"/>
      <c r="F80" s="27"/>
      <c r="G80" s="30">
        <v>0</v>
      </c>
      <c r="H80" s="30"/>
      <c r="I80" s="30">
        <v>0</v>
      </c>
    </row>
    <row r="81" spans="1:9" x14ac:dyDescent="0.25">
      <c r="B81" s="27" t="s">
        <v>130</v>
      </c>
      <c r="C81" s="27"/>
      <c r="D81" s="27"/>
      <c r="E81" s="27"/>
      <c r="F81" s="27"/>
      <c r="G81" s="30">
        <v>0</v>
      </c>
      <c r="H81" s="30"/>
      <c r="I81" s="30">
        <v>0</v>
      </c>
    </row>
    <row r="82" spans="1:9" x14ac:dyDescent="0.25">
      <c r="B82" s="40" t="s">
        <v>132</v>
      </c>
      <c r="C82" s="27"/>
      <c r="D82" s="27"/>
      <c r="E82" s="27"/>
      <c r="F82" s="27"/>
      <c r="G82" s="30"/>
      <c r="H82" s="30"/>
      <c r="I82" s="30"/>
    </row>
    <row r="83" spans="1:9" x14ac:dyDescent="0.2">
      <c r="B83" s="27" t="s">
        <v>57</v>
      </c>
      <c r="C83" s="27"/>
      <c r="D83" s="27"/>
      <c r="E83" s="27"/>
      <c r="F83" s="27"/>
      <c r="G83" s="110">
        <f>I17-G17</f>
        <v>0</v>
      </c>
      <c r="H83" s="30"/>
      <c r="I83" s="110">
        <f>-I17</f>
        <v>0</v>
      </c>
    </row>
    <row r="84" spans="1:9" x14ac:dyDescent="0.25">
      <c r="B84" s="27" t="s">
        <v>60</v>
      </c>
      <c r="C84" s="27"/>
      <c r="D84" s="27"/>
      <c r="E84" s="27"/>
      <c r="F84" s="27"/>
      <c r="G84" s="30">
        <f>G29-I29</f>
        <v>-9932.24</v>
      </c>
      <c r="H84" s="30"/>
      <c r="I84" s="30">
        <f>I29</f>
        <v>12842.24</v>
      </c>
    </row>
    <row r="85" spans="1:9" x14ac:dyDescent="0.25">
      <c r="B85" s="27" t="s">
        <v>131</v>
      </c>
      <c r="C85" s="27"/>
      <c r="D85" s="27"/>
      <c r="E85" s="27"/>
      <c r="F85" s="27"/>
      <c r="G85" s="30"/>
      <c r="H85" s="30"/>
      <c r="I85" s="30">
        <v>0</v>
      </c>
    </row>
    <row r="86" spans="1:9" ht="15.75" thickBot="1" x14ac:dyDescent="0.3">
      <c r="B86" s="27"/>
      <c r="C86" s="27"/>
      <c r="D86" s="27"/>
      <c r="E86" s="27"/>
      <c r="F86" s="27"/>
      <c r="G86" s="31">
        <f>G77-G79-G81-G85+G83+G84+G80</f>
        <v>-11595.24</v>
      </c>
      <c r="H86" s="30"/>
      <c r="I86" s="31">
        <f>I77-I79-I81-I85+I83+I84</f>
        <v>12001.24</v>
      </c>
    </row>
    <row r="87" spans="1:9" x14ac:dyDescent="0.25">
      <c r="B87" s="27"/>
      <c r="C87" s="27"/>
      <c r="D87" s="27"/>
      <c r="E87" s="27"/>
      <c r="F87" s="27"/>
      <c r="G87" s="30"/>
      <c r="H87" s="30"/>
      <c r="I87" s="32"/>
    </row>
    <row r="88" spans="1:9" x14ac:dyDescent="0.25">
      <c r="A88" s="34" t="s">
        <v>364</v>
      </c>
      <c r="B88" s="35" t="s">
        <v>365</v>
      </c>
    </row>
    <row r="89" spans="1:9" ht="24" customHeight="1" x14ac:dyDescent="0.25">
      <c r="B89" s="160" t="s">
        <v>366</v>
      </c>
      <c r="C89" s="160"/>
      <c r="D89" s="160"/>
      <c r="E89" s="160"/>
      <c r="F89" s="160"/>
      <c r="G89" s="160"/>
      <c r="H89" s="160"/>
      <c r="I89" s="160"/>
    </row>
    <row r="90" spans="1:9" ht="24" customHeight="1" x14ac:dyDescent="0.25">
      <c r="B90" s="132"/>
      <c r="C90" s="132"/>
      <c r="D90" s="132"/>
      <c r="E90" s="132"/>
      <c r="F90" s="132"/>
      <c r="G90" s="132"/>
      <c r="H90" s="132"/>
      <c r="I90" s="132"/>
    </row>
    <row r="91" spans="1:9" ht="15" customHeight="1" x14ac:dyDescent="0.25">
      <c r="B91" s="132"/>
      <c r="C91" s="132"/>
      <c r="D91" s="132"/>
      <c r="E91" s="132"/>
      <c r="F91" s="132"/>
      <c r="G91" s="132"/>
      <c r="H91" s="132"/>
      <c r="I91" s="132"/>
    </row>
    <row r="93" spans="1:9" x14ac:dyDescent="0.25">
      <c r="A93" s="41" t="s">
        <v>119</v>
      </c>
      <c r="B93" s="42"/>
      <c r="C93" s="42"/>
      <c r="D93" s="42"/>
      <c r="E93" s="42"/>
      <c r="F93" s="42"/>
      <c r="G93" s="42">
        <v>2017</v>
      </c>
      <c r="H93" s="42"/>
      <c r="I93" s="42">
        <v>2016</v>
      </c>
    </row>
    <row r="95" spans="1:9" x14ac:dyDescent="0.25">
      <c r="A95" s="34" t="s">
        <v>367</v>
      </c>
      <c r="B95" s="35" t="s">
        <v>368</v>
      </c>
      <c r="C95" s="27"/>
      <c r="D95" s="27"/>
      <c r="E95" s="27"/>
      <c r="F95" s="27"/>
      <c r="G95" s="27"/>
      <c r="H95" s="27"/>
      <c r="I95" s="27"/>
    </row>
    <row r="96" spans="1:9" ht="25.5" customHeight="1" x14ac:dyDescent="0.25">
      <c r="A96" s="38"/>
      <c r="B96" s="160" t="s">
        <v>464</v>
      </c>
      <c r="C96" s="160"/>
      <c r="D96" s="160"/>
      <c r="E96" s="160"/>
      <c r="F96" s="160"/>
      <c r="G96" s="160"/>
      <c r="H96" s="160"/>
      <c r="I96" s="160"/>
    </row>
    <row r="98" spans="1:9" x14ac:dyDescent="0.25">
      <c r="A98" s="34" t="s">
        <v>369</v>
      </c>
      <c r="B98" s="35" t="s">
        <v>370</v>
      </c>
    </row>
    <row r="99" spans="1:9" x14ac:dyDescent="0.25">
      <c r="B99" s="160" t="s">
        <v>437</v>
      </c>
      <c r="C99" s="160"/>
      <c r="D99" s="160"/>
      <c r="E99" s="160"/>
      <c r="F99" s="160"/>
      <c r="G99" s="160"/>
      <c r="H99" s="160"/>
      <c r="I99" s="160"/>
    </row>
    <row r="100" spans="1:9" ht="6" customHeight="1" x14ac:dyDescent="0.25"/>
    <row r="101" spans="1:9" x14ac:dyDescent="0.25">
      <c r="B101" s="160" t="s">
        <v>438</v>
      </c>
      <c r="C101" s="160"/>
      <c r="D101" s="160"/>
      <c r="E101" s="160"/>
      <c r="F101" s="160"/>
      <c r="G101" s="160"/>
      <c r="H101" s="160"/>
      <c r="I101" s="160"/>
    </row>
    <row r="102" spans="1:9" x14ac:dyDescent="0.25">
      <c r="B102" s="160" t="s">
        <v>439</v>
      </c>
      <c r="C102" s="160"/>
      <c r="D102" s="160"/>
      <c r="E102" s="160"/>
      <c r="F102" s="160"/>
      <c r="G102" s="160"/>
      <c r="H102" s="160"/>
      <c r="I102" s="160"/>
    </row>
    <row r="103" spans="1:9" x14ac:dyDescent="0.25">
      <c r="B103" s="160" t="s">
        <v>440</v>
      </c>
      <c r="C103" s="160"/>
      <c r="D103" s="160"/>
      <c r="E103" s="160"/>
      <c r="F103" s="160"/>
      <c r="G103" s="160"/>
      <c r="H103" s="160"/>
      <c r="I103" s="160"/>
    </row>
    <row r="104" spans="1:9" ht="24.75" customHeight="1" x14ac:dyDescent="0.25">
      <c r="B104" s="160" t="s">
        <v>441</v>
      </c>
      <c r="C104" s="160"/>
      <c r="D104" s="160"/>
      <c r="E104" s="160"/>
      <c r="F104" s="160"/>
      <c r="G104" s="160"/>
      <c r="H104" s="160"/>
      <c r="I104" s="160"/>
    </row>
    <row r="105" spans="1:9" ht="6" customHeight="1" x14ac:dyDescent="0.25"/>
    <row r="106" spans="1:9" x14ac:dyDescent="0.25">
      <c r="B106" s="160" t="s">
        <v>371</v>
      </c>
      <c r="C106" s="160"/>
      <c r="D106" s="160"/>
      <c r="E106" s="160"/>
      <c r="F106" s="160"/>
      <c r="G106" s="160"/>
      <c r="H106" s="160"/>
      <c r="I106" s="160"/>
    </row>
    <row r="107" spans="1:9" ht="27" customHeight="1" x14ac:dyDescent="0.25">
      <c r="B107" s="160" t="s">
        <v>442</v>
      </c>
      <c r="C107" s="160"/>
      <c r="D107" s="160"/>
      <c r="E107" s="160"/>
      <c r="F107" s="160"/>
      <c r="G107" s="160"/>
      <c r="H107" s="160"/>
      <c r="I107" s="160"/>
    </row>
    <row r="108" spans="1:9" x14ac:dyDescent="0.25">
      <c r="B108" s="160" t="s">
        <v>443</v>
      </c>
      <c r="C108" s="160"/>
      <c r="D108" s="160"/>
      <c r="E108" s="160"/>
      <c r="F108" s="160"/>
      <c r="G108" s="160"/>
      <c r="H108" s="160"/>
      <c r="I108" s="160"/>
    </row>
    <row r="109" spans="1:9" ht="27.75" customHeight="1" x14ac:dyDescent="0.25">
      <c r="B109" s="160" t="s">
        <v>444</v>
      </c>
      <c r="C109" s="160"/>
      <c r="D109" s="160"/>
      <c r="E109" s="160"/>
      <c r="F109" s="160"/>
      <c r="G109" s="160"/>
      <c r="H109" s="160"/>
      <c r="I109" s="160"/>
    </row>
    <row r="110" spans="1:9" ht="27.75" customHeight="1" x14ac:dyDescent="0.25">
      <c r="B110" s="160" t="s">
        <v>445</v>
      </c>
      <c r="C110" s="160"/>
      <c r="D110" s="160"/>
      <c r="E110" s="160"/>
      <c r="F110" s="160"/>
      <c r="G110" s="160"/>
      <c r="H110" s="160"/>
      <c r="I110" s="160"/>
    </row>
    <row r="111" spans="1:9" x14ac:dyDescent="0.25">
      <c r="B111" s="54"/>
    </row>
    <row r="112" spans="1:9" x14ac:dyDescent="0.25">
      <c r="B112" s="166" t="s">
        <v>446</v>
      </c>
      <c r="C112" s="166"/>
      <c r="D112" s="166"/>
      <c r="E112" s="166"/>
      <c r="F112" s="166"/>
      <c r="G112" s="166"/>
      <c r="H112" s="166"/>
      <c r="I112" s="166"/>
    </row>
    <row r="113" spans="2:9" x14ac:dyDescent="0.25">
      <c r="B113" s="143" t="s">
        <v>625</v>
      </c>
      <c r="G113" s="151">
        <f>G33</f>
        <v>18000</v>
      </c>
      <c r="I113" s="151">
        <f>I33</f>
        <v>36247</v>
      </c>
    </row>
    <row r="114" spans="2:9" x14ac:dyDescent="0.25">
      <c r="B114" s="28" t="s">
        <v>606</v>
      </c>
      <c r="G114" s="144">
        <v>6000</v>
      </c>
      <c r="I114" s="144">
        <v>12082.333333333334</v>
      </c>
    </row>
    <row r="115" spans="2:9" x14ac:dyDescent="0.25">
      <c r="B115" s="28" t="s">
        <v>626</v>
      </c>
      <c r="G115" s="145">
        <v>6000</v>
      </c>
      <c r="I115" s="145">
        <v>12082.333333333334</v>
      </c>
    </row>
    <row r="116" spans="2:9" x14ac:dyDescent="0.25">
      <c r="B116" s="28" t="s">
        <v>605</v>
      </c>
      <c r="G116" s="146">
        <v>6000</v>
      </c>
      <c r="I116" s="146">
        <v>12082.333333333334</v>
      </c>
    </row>
    <row r="117" spans="2:9" x14ac:dyDescent="0.25">
      <c r="B117" s="76"/>
      <c r="C117" s="76"/>
      <c r="D117" s="76"/>
      <c r="E117" s="76"/>
      <c r="F117" s="76"/>
    </row>
    <row r="118" spans="2:9" x14ac:dyDescent="0.25">
      <c r="B118" s="170" t="s">
        <v>627</v>
      </c>
      <c r="C118" s="170"/>
      <c r="D118" s="170"/>
      <c r="E118" s="170"/>
      <c r="F118" s="170"/>
      <c r="G118" s="150">
        <f>G113</f>
        <v>18000</v>
      </c>
      <c r="I118" s="151">
        <f>I113</f>
        <v>36247</v>
      </c>
    </row>
    <row r="119" spans="2:9" x14ac:dyDescent="0.25">
      <c r="B119" s="28" t="s">
        <v>604</v>
      </c>
      <c r="C119" s="134"/>
      <c r="D119" s="134"/>
      <c r="E119" s="134"/>
      <c r="F119" s="134"/>
      <c r="G119" s="149">
        <v>18000</v>
      </c>
      <c r="I119" s="148">
        <v>36247</v>
      </c>
    </row>
    <row r="120" spans="2:9" x14ac:dyDescent="0.25">
      <c r="B120" s="134"/>
      <c r="C120" s="134"/>
      <c r="D120" s="134"/>
      <c r="E120" s="134"/>
      <c r="F120" s="134"/>
      <c r="G120" s="147"/>
      <c r="I120" s="37"/>
    </row>
    <row r="121" spans="2:9" x14ac:dyDescent="0.25">
      <c r="B121" s="166" t="s">
        <v>628</v>
      </c>
      <c r="C121" s="166"/>
      <c r="D121" s="166"/>
      <c r="E121" s="166"/>
      <c r="F121" s="166"/>
      <c r="G121" s="166"/>
      <c r="H121" s="166"/>
      <c r="I121" s="166"/>
    </row>
    <row r="122" spans="2:9" x14ac:dyDescent="0.25">
      <c r="B122" s="28" t="s">
        <v>629</v>
      </c>
      <c r="G122" s="150">
        <f>G28</f>
        <v>2910</v>
      </c>
      <c r="I122" s="150">
        <f>I28</f>
        <v>760</v>
      </c>
    </row>
  </sheetData>
  <mergeCells count="24">
    <mergeCell ref="B121:I121"/>
    <mergeCell ref="B89:I89"/>
    <mergeCell ref="B96:I96"/>
    <mergeCell ref="B99:I99"/>
    <mergeCell ref="B101:I101"/>
    <mergeCell ref="B102:I102"/>
    <mergeCell ref="B103:I103"/>
    <mergeCell ref="B104:I104"/>
    <mergeCell ref="B106:I106"/>
    <mergeCell ref="B107:I107"/>
    <mergeCell ref="B118:F118"/>
    <mergeCell ref="B108:I108"/>
    <mergeCell ref="B109:I109"/>
    <mergeCell ref="B110:I110"/>
    <mergeCell ref="B112:I112"/>
    <mergeCell ref="B10:F10"/>
    <mergeCell ref="B43:F43"/>
    <mergeCell ref="B62:F62"/>
    <mergeCell ref="B18:F18"/>
    <mergeCell ref="B41:F41"/>
    <mergeCell ref="B30:F30"/>
    <mergeCell ref="B34:F34"/>
    <mergeCell ref="B35:F35"/>
    <mergeCell ref="B73:F73"/>
  </mergeCells>
  <pageMargins left="0.39370078740157483" right="0.39370078740157483" top="0.74803149606299213" bottom="0.74803149606299213" header="0.31496062992125984" footer="0.31496062992125984"/>
  <pageSetup paperSize="9" firstPageNumber="16" orientation="portrait" useFirstPageNumber="1" r:id="rId1"/>
  <headerFooter>
    <oddHeader>&amp;L&amp;"-,Bold"GAUTENG CYCLING ASSOCIATION
Annual financial statements for the year ended 31 December 2017
Notes to the annual financial statements</oddHeader>
    <oddFooter>&amp;CPage &amp;P</oddFooter>
  </headerFooter>
  <customProperties>
    <customPr name="_pios_id" r:id="rId2"/>
  </customProperties>
  <ignoredErrors>
    <ignoredError sqref="A64" numberStoredAsText="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249977111117893"/>
  </sheetPr>
  <dimension ref="A2:L100"/>
  <sheetViews>
    <sheetView workbookViewId="0">
      <selection activeCell="A31" sqref="A31"/>
    </sheetView>
  </sheetViews>
  <sheetFormatPr defaultRowHeight="15" x14ac:dyDescent="0.25"/>
  <cols>
    <col min="1" max="1" width="20.5703125" bestFit="1" customWidth="1"/>
    <col min="2" max="2" width="13.7109375" customWidth="1"/>
    <col min="3" max="3" width="50.5703125" style="63" bestFit="1" customWidth="1"/>
    <col min="7" max="7" width="4.140625" customWidth="1"/>
    <col min="9" max="9" width="10.7109375" customWidth="1"/>
  </cols>
  <sheetData>
    <row r="2" spans="1:10" x14ac:dyDescent="0.25">
      <c r="A2" t="s">
        <v>485</v>
      </c>
    </row>
    <row r="3" spans="1:10" x14ac:dyDescent="0.25">
      <c r="A3" t="s">
        <v>486</v>
      </c>
      <c r="B3" t="s">
        <v>487</v>
      </c>
    </row>
    <row r="4" spans="1:10" x14ac:dyDescent="0.25">
      <c r="A4" t="s">
        <v>488</v>
      </c>
      <c r="B4" t="s">
        <v>489</v>
      </c>
    </row>
    <row r="5" spans="1:10" x14ac:dyDescent="0.25">
      <c r="A5" t="s">
        <v>490</v>
      </c>
      <c r="B5" s="117">
        <v>42521</v>
      </c>
      <c r="C5" s="117"/>
    </row>
    <row r="6" spans="1:10" x14ac:dyDescent="0.25">
      <c r="A6" t="s">
        <v>502</v>
      </c>
      <c r="B6" s="25">
        <v>0.21</v>
      </c>
    </row>
    <row r="7" spans="1:10" s="63" customFormat="1" x14ac:dyDescent="0.25">
      <c r="A7" s="63" t="s">
        <v>503</v>
      </c>
      <c r="B7" s="25">
        <v>0</v>
      </c>
    </row>
    <row r="9" spans="1:10" ht="28.5" customHeight="1" x14ac:dyDescent="0.25">
      <c r="A9" s="2" t="s">
        <v>497</v>
      </c>
      <c r="B9" s="2" t="s">
        <v>145</v>
      </c>
      <c r="C9" s="2" t="s">
        <v>500</v>
      </c>
      <c r="D9" s="2" t="s">
        <v>498</v>
      </c>
      <c r="E9" s="2" t="s">
        <v>499</v>
      </c>
      <c r="F9" s="2" t="s">
        <v>406</v>
      </c>
      <c r="G9" s="2" t="s">
        <v>515</v>
      </c>
      <c r="H9" s="4" t="s">
        <v>501</v>
      </c>
      <c r="I9" s="4" t="s">
        <v>509</v>
      </c>
      <c r="J9" s="2"/>
    </row>
    <row r="10" spans="1:10" x14ac:dyDescent="0.25">
      <c r="A10">
        <v>1</v>
      </c>
      <c r="B10" s="69">
        <v>42521</v>
      </c>
      <c r="C10" s="63" t="s">
        <v>504</v>
      </c>
      <c r="D10">
        <v>0</v>
      </c>
      <c r="E10">
        <v>0</v>
      </c>
      <c r="F10">
        <v>0</v>
      </c>
      <c r="H10">
        <v>0</v>
      </c>
      <c r="J10" s="120"/>
    </row>
    <row r="11" spans="1:10" s="63" customFormat="1" x14ac:dyDescent="0.25">
      <c r="A11" s="63">
        <v>1</v>
      </c>
      <c r="B11" s="69">
        <v>42521</v>
      </c>
      <c r="C11" s="63" t="s">
        <v>505</v>
      </c>
      <c r="E11" s="63">
        <v>300</v>
      </c>
      <c r="F11" s="63">
        <f>F10+E11-D11</f>
        <v>300</v>
      </c>
      <c r="J11" s="120"/>
    </row>
    <row r="12" spans="1:10" x14ac:dyDescent="0.25">
      <c r="A12" s="63">
        <v>1</v>
      </c>
      <c r="B12" s="69">
        <v>42521</v>
      </c>
      <c r="C12" s="63" t="s">
        <v>506</v>
      </c>
      <c r="E12">
        <v>100</v>
      </c>
      <c r="F12" s="63">
        <f t="shared" ref="F12:F14" si="0">F11+E12-D12</f>
        <v>400</v>
      </c>
      <c r="J12" s="120"/>
    </row>
    <row r="13" spans="1:10" x14ac:dyDescent="0.25">
      <c r="A13" s="63">
        <v>1</v>
      </c>
      <c r="B13" s="69">
        <v>42521</v>
      </c>
      <c r="C13" s="63" t="s">
        <v>507</v>
      </c>
      <c r="E13">
        <v>110</v>
      </c>
      <c r="F13" s="63">
        <f t="shared" si="0"/>
        <v>510</v>
      </c>
      <c r="I13">
        <f>F13</f>
        <v>510</v>
      </c>
      <c r="J13" s="120"/>
    </row>
    <row r="14" spans="1:10" x14ac:dyDescent="0.25">
      <c r="A14" s="63">
        <v>1</v>
      </c>
      <c r="B14" s="69">
        <v>42542</v>
      </c>
      <c r="C14" s="63" t="s">
        <v>508</v>
      </c>
      <c r="E14">
        <v>50</v>
      </c>
      <c r="F14" s="63">
        <f t="shared" si="0"/>
        <v>560</v>
      </c>
      <c r="J14" s="120"/>
    </row>
    <row r="15" spans="1:10" x14ac:dyDescent="0.25">
      <c r="A15">
        <v>2</v>
      </c>
      <c r="B15" s="69">
        <v>42548</v>
      </c>
      <c r="C15" s="63" t="s">
        <v>510</v>
      </c>
      <c r="F15">
        <v>560</v>
      </c>
      <c r="G15" s="119">
        <f>F15-F14</f>
        <v>0</v>
      </c>
    </row>
    <row r="16" spans="1:10" x14ac:dyDescent="0.25">
      <c r="A16" s="63">
        <v>2</v>
      </c>
      <c r="B16" s="69">
        <v>42551</v>
      </c>
      <c r="C16" s="63" t="s">
        <v>511</v>
      </c>
      <c r="D16">
        <v>60</v>
      </c>
      <c r="F16" s="63">
        <f t="shared" ref="F16:F19" si="1">F15+E16-D16</f>
        <v>500</v>
      </c>
      <c r="J16" s="120"/>
    </row>
    <row r="17" spans="1:10" x14ac:dyDescent="0.25">
      <c r="A17" s="63">
        <v>2</v>
      </c>
      <c r="B17" s="69">
        <v>42551</v>
      </c>
      <c r="C17" s="63" t="s">
        <v>512</v>
      </c>
      <c r="D17">
        <v>60</v>
      </c>
      <c r="F17" s="63">
        <f t="shared" si="1"/>
        <v>440</v>
      </c>
      <c r="I17">
        <f>F17</f>
        <v>440</v>
      </c>
      <c r="J17" s="120"/>
    </row>
    <row r="18" spans="1:10" x14ac:dyDescent="0.25">
      <c r="A18" s="63">
        <v>2</v>
      </c>
      <c r="B18" s="69">
        <v>42556</v>
      </c>
      <c r="C18" s="63" t="s">
        <v>513</v>
      </c>
      <c r="E18">
        <v>12082.24</v>
      </c>
      <c r="F18" s="63">
        <f t="shared" si="1"/>
        <v>12522.24</v>
      </c>
      <c r="J18" s="120"/>
    </row>
    <row r="19" spans="1:10" x14ac:dyDescent="0.25">
      <c r="A19" s="63">
        <v>2</v>
      </c>
      <c r="B19" s="69">
        <v>42556</v>
      </c>
      <c r="C19" s="63" t="s">
        <v>514</v>
      </c>
      <c r="E19">
        <v>12082.24</v>
      </c>
      <c r="F19" s="63">
        <f t="shared" si="1"/>
        <v>24604.48</v>
      </c>
      <c r="J19" s="120"/>
    </row>
    <row r="20" spans="1:10" x14ac:dyDescent="0.25">
      <c r="A20">
        <v>3</v>
      </c>
      <c r="B20" s="69">
        <v>42577</v>
      </c>
      <c r="C20" s="63" t="s">
        <v>510</v>
      </c>
      <c r="F20">
        <v>24604.48</v>
      </c>
      <c r="G20" s="119">
        <f>F20-F19</f>
        <v>0</v>
      </c>
    </row>
    <row r="21" spans="1:10" x14ac:dyDescent="0.25">
      <c r="A21" s="63">
        <v>3</v>
      </c>
      <c r="B21" s="69">
        <v>42581</v>
      </c>
      <c r="C21" s="63" t="s">
        <v>511</v>
      </c>
      <c r="D21" s="63">
        <v>60</v>
      </c>
      <c r="F21" s="63">
        <f t="shared" ref="F21:F86" si="2">F20+E21-D21</f>
        <v>24544.48</v>
      </c>
      <c r="J21" s="120"/>
    </row>
    <row r="22" spans="1:10" x14ac:dyDescent="0.25">
      <c r="A22" s="63">
        <v>3</v>
      </c>
      <c r="B22" s="69">
        <v>42581</v>
      </c>
      <c r="C22" s="63" t="s">
        <v>512</v>
      </c>
      <c r="D22" s="63">
        <v>60</v>
      </c>
      <c r="F22" s="63">
        <f t="shared" si="2"/>
        <v>24484.48</v>
      </c>
      <c r="I22">
        <f>F22</f>
        <v>24484.48</v>
      </c>
      <c r="J22" s="120"/>
    </row>
    <row r="23" spans="1:10" x14ac:dyDescent="0.25">
      <c r="A23" s="63">
        <v>3</v>
      </c>
      <c r="B23" s="69">
        <v>42592</v>
      </c>
      <c r="C23" s="63" t="s">
        <v>516</v>
      </c>
      <c r="D23">
        <v>24164.48</v>
      </c>
      <c r="F23" s="63">
        <f t="shared" si="2"/>
        <v>320</v>
      </c>
      <c r="H23">
        <v>18.3</v>
      </c>
      <c r="J23" s="120"/>
    </row>
    <row r="24" spans="1:10" x14ac:dyDescent="0.25">
      <c r="A24" s="63">
        <v>3</v>
      </c>
      <c r="B24" s="69">
        <v>42592</v>
      </c>
      <c r="C24" s="63" t="s">
        <v>517</v>
      </c>
      <c r="D24">
        <v>1.05</v>
      </c>
      <c r="F24" s="63">
        <f t="shared" si="2"/>
        <v>318.95</v>
      </c>
      <c r="J24" s="120"/>
    </row>
    <row r="25" spans="1:10" x14ac:dyDescent="0.25">
      <c r="A25">
        <v>4</v>
      </c>
      <c r="B25" s="69">
        <v>42608</v>
      </c>
      <c r="C25" s="63" t="s">
        <v>510</v>
      </c>
      <c r="F25">
        <v>318.95</v>
      </c>
      <c r="G25" s="119">
        <f>F25-F24</f>
        <v>0</v>
      </c>
    </row>
    <row r="26" spans="1:10" x14ac:dyDescent="0.25">
      <c r="A26" s="63">
        <v>4</v>
      </c>
      <c r="B26" s="69">
        <v>42613</v>
      </c>
      <c r="C26" s="63" t="s">
        <v>511</v>
      </c>
      <c r="D26" s="63">
        <v>60</v>
      </c>
      <c r="F26" s="63">
        <f t="shared" si="2"/>
        <v>258.95</v>
      </c>
      <c r="J26" s="120"/>
    </row>
    <row r="27" spans="1:10" x14ac:dyDescent="0.25">
      <c r="A27" s="63">
        <v>4</v>
      </c>
      <c r="B27" s="69">
        <v>42613</v>
      </c>
      <c r="C27" s="63" t="s">
        <v>512</v>
      </c>
      <c r="D27" s="63">
        <v>60</v>
      </c>
      <c r="F27" s="63">
        <f t="shared" si="2"/>
        <v>198.95</v>
      </c>
      <c r="I27">
        <f>F27</f>
        <v>198.95</v>
      </c>
      <c r="J27" s="120"/>
    </row>
    <row r="28" spans="1:10" x14ac:dyDescent="0.25">
      <c r="A28" s="63">
        <v>4</v>
      </c>
      <c r="B28" s="69">
        <v>42633</v>
      </c>
      <c r="C28" s="63" t="s">
        <v>508</v>
      </c>
      <c r="E28">
        <v>100</v>
      </c>
      <c r="F28" s="63">
        <f t="shared" si="2"/>
        <v>298.95</v>
      </c>
      <c r="J28" s="120"/>
    </row>
    <row r="29" spans="1:10" x14ac:dyDescent="0.25">
      <c r="A29">
        <v>5</v>
      </c>
      <c r="B29" s="69">
        <v>42639</v>
      </c>
      <c r="C29" s="63" t="s">
        <v>510</v>
      </c>
      <c r="F29">
        <v>298.95</v>
      </c>
      <c r="G29" s="119">
        <f>F29-F28</f>
        <v>0</v>
      </c>
    </row>
    <row r="30" spans="1:10" x14ac:dyDescent="0.25">
      <c r="A30" s="63">
        <v>5</v>
      </c>
      <c r="B30" s="69">
        <v>42639</v>
      </c>
      <c r="C30" s="63" t="s">
        <v>518</v>
      </c>
      <c r="E30">
        <v>12082.24</v>
      </c>
      <c r="F30" s="63">
        <f t="shared" si="2"/>
        <v>12381.19</v>
      </c>
      <c r="J30" s="120"/>
    </row>
    <row r="31" spans="1:10" x14ac:dyDescent="0.25">
      <c r="A31" s="63">
        <v>5</v>
      </c>
      <c r="B31" s="69">
        <v>42643</v>
      </c>
      <c r="C31" s="63" t="s">
        <v>511</v>
      </c>
      <c r="D31" s="63">
        <v>60</v>
      </c>
      <c r="F31" s="63">
        <f t="shared" si="2"/>
        <v>12321.19</v>
      </c>
      <c r="J31" s="120"/>
    </row>
    <row r="32" spans="1:10" x14ac:dyDescent="0.25">
      <c r="A32" s="63">
        <v>5</v>
      </c>
      <c r="B32" s="69">
        <v>42643</v>
      </c>
      <c r="C32" s="63" t="s">
        <v>512</v>
      </c>
      <c r="D32" s="63">
        <v>60</v>
      </c>
      <c r="F32" s="63">
        <f t="shared" si="2"/>
        <v>12261.19</v>
      </c>
      <c r="I32">
        <f>F32</f>
        <v>12261.19</v>
      </c>
      <c r="J32" s="120"/>
    </row>
    <row r="33" spans="1:12" x14ac:dyDescent="0.25">
      <c r="A33" s="63">
        <v>5</v>
      </c>
      <c r="B33" s="69">
        <v>42663</v>
      </c>
      <c r="C33" s="63" t="s">
        <v>508</v>
      </c>
      <c r="E33">
        <v>100</v>
      </c>
      <c r="F33" s="63">
        <f t="shared" si="2"/>
        <v>12361.19</v>
      </c>
      <c r="J33" s="120"/>
    </row>
    <row r="34" spans="1:12" x14ac:dyDescent="0.25">
      <c r="A34">
        <v>6</v>
      </c>
      <c r="B34" s="69">
        <v>42669</v>
      </c>
      <c r="C34" s="63" t="s">
        <v>510</v>
      </c>
      <c r="F34">
        <v>12361.19</v>
      </c>
      <c r="G34" s="119">
        <f>F34-F33</f>
        <v>0</v>
      </c>
    </row>
    <row r="35" spans="1:12" x14ac:dyDescent="0.25">
      <c r="A35" s="63">
        <v>6</v>
      </c>
      <c r="B35" s="69">
        <v>42674</v>
      </c>
      <c r="C35" s="63" t="s">
        <v>511</v>
      </c>
      <c r="D35" s="63">
        <v>60</v>
      </c>
      <c r="F35" s="63">
        <f t="shared" si="2"/>
        <v>12301.19</v>
      </c>
      <c r="J35" s="120"/>
    </row>
    <row r="36" spans="1:12" x14ac:dyDescent="0.25">
      <c r="A36" s="63">
        <v>6</v>
      </c>
      <c r="B36" s="69">
        <v>42674</v>
      </c>
      <c r="C36" s="63" t="s">
        <v>512</v>
      </c>
      <c r="D36" s="63">
        <v>60</v>
      </c>
      <c r="F36" s="63">
        <f t="shared" si="2"/>
        <v>12241.19</v>
      </c>
      <c r="I36">
        <f>F36</f>
        <v>12241.19</v>
      </c>
      <c r="J36" s="120"/>
    </row>
    <row r="37" spans="1:12" x14ac:dyDescent="0.25">
      <c r="A37">
        <v>7</v>
      </c>
      <c r="B37" s="69">
        <v>42700</v>
      </c>
      <c r="C37" s="63" t="s">
        <v>510</v>
      </c>
      <c r="F37">
        <v>12241.19</v>
      </c>
      <c r="G37" s="119">
        <f>F37-F36</f>
        <v>0</v>
      </c>
    </row>
    <row r="38" spans="1:12" x14ac:dyDescent="0.25">
      <c r="A38" s="63">
        <v>7</v>
      </c>
      <c r="B38" s="69">
        <v>42704</v>
      </c>
      <c r="C38" s="63" t="s">
        <v>511</v>
      </c>
      <c r="D38" s="63">
        <v>60</v>
      </c>
      <c r="F38" s="63">
        <f t="shared" si="2"/>
        <v>12181.19</v>
      </c>
      <c r="J38" s="120"/>
    </row>
    <row r="39" spans="1:12" x14ac:dyDescent="0.25">
      <c r="A39" s="63">
        <v>7</v>
      </c>
      <c r="B39" s="69">
        <v>42704</v>
      </c>
      <c r="C39" s="63" t="s">
        <v>512</v>
      </c>
      <c r="D39" s="63">
        <v>60</v>
      </c>
      <c r="F39" s="63">
        <f t="shared" si="2"/>
        <v>12121.19</v>
      </c>
      <c r="I39">
        <f>F39</f>
        <v>12121.19</v>
      </c>
      <c r="J39" s="120"/>
    </row>
    <row r="40" spans="1:12" x14ac:dyDescent="0.25">
      <c r="A40">
        <v>8</v>
      </c>
      <c r="B40" s="69">
        <v>42730</v>
      </c>
      <c r="C40" s="63" t="s">
        <v>510</v>
      </c>
      <c r="F40">
        <v>12121.19</v>
      </c>
      <c r="G40" s="119">
        <f>F40-F39</f>
        <v>0</v>
      </c>
    </row>
    <row r="41" spans="1:12" x14ac:dyDescent="0.25">
      <c r="A41" s="63">
        <v>8</v>
      </c>
      <c r="B41" s="69">
        <v>42735</v>
      </c>
      <c r="C41" s="63" t="s">
        <v>511</v>
      </c>
      <c r="D41" s="63">
        <v>60</v>
      </c>
      <c r="F41" s="63">
        <f t="shared" si="2"/>
        <v>12061.19</v>
      </c>
      <c r="J41" s="120"/>
    </row>
    <row r="42" spans="1:12" x14ac:dyDescent="0.25">
      <c r="A42" s="120">
        <v>8</v>
      </c>
      <c r="B42" s="121">
        <v>42735</v>
      </c>
      <c r="C42" s="120" t="s">
        <v>512</v>
      </c>
      <c r="D42" s="120">
        <v>60</v>
      </c>
      <c r="E42" s="120"/>
      <c r="F42" s="120">
        <f t="shared" si="2"/>
        <v>12001.19</v>
      </c>
      <c r="G42" s="120"/>
      <c r="H42" s="120"/>
      <c r="I42" s="120">
        <f>F42</f>
        <v>12001.19</v>
      </c>
      <c r="J42" s="120" t="s">
        <v>519</v>
      </c>
      <c r="K42" s="120"/>
      <c r="L42" s="120"/>
    </row>
    <row r="43" spans="1:12" x14ac:dyDescent="0.25">
      <c r="A43">
        <v>8</v>
      </c>
      <c r="B43" s="69">
        <v>42755</v>
      </c>
      <c r="C43" s="63" t="s">
        <v>508</v>
      </c>
      <c r="E43">
        <v>500</v>
      </c>
      <c r="F43">
        <f t="shared" si="2"/>
        <v>12501.19</v>
      </c>
      <c r="J43" s="120"/>
    </row>
    <row r="44" spans="1:12" x14ac:dyDescent="0.25">
      <c r="A44">
        <v>9</v>
      </c>
      <c r="B44" s="69">
        <v>42761</v>
      </c>
      <c r="C44" s="63" t="s">
        <v>510</v>
      </c>
      <c r="F44">
        <v>12501.19</v>
      </c>
      <c r="G44" s="119">
        <f>F44-F43</f>
        <v>0</v>
      </c>
    </row>
    <row r="45" spans="1:12" x14ac:dyDescent="0.25">
      <c r="A45" s="63">
        <v>9</v>
      </c>
      <c r="B45" s="69">
        <v>42766</v>
      </c>
      <c r="C45" s="63" t="s">
        <v>511</v>
      </c>
      <c r="D45">
        <v>69</v>
      </c>
      <c r="F45" s="63">
        <f t="shared" si="2"/>
        <v>12432.19</v>
      </c>
      <c r="J45" s="120"/>
    </row>
    <row r="46" spans="1:12" x14ac:dyDescent="0.25">
      <c r="A46" s="63">
        <v>9</v>
      </c>
      <c r="B46" s="69">
        <v>42766</v>
      </c>
      <c r="C46" s="63" t="s">
        <v>512</v>
      </c>
      <c r="D46">
        <v>64</v>
      </c>
      <c r="F46" s="63">
        <f t="shared" si="2"/>
        <v>12368.19</v>
      </c>
      <c r="I46">
        <f>F46</f>
        <v>12368.19</v>
      </c>
      <c r="J46" s="120"/>
    </row>
    <row r="47" spans="1:12" x14ac:dyDescent="0.25">
      <c r="A47">
        <v>10</v>
      </c>
      <c r="B47" s="69">
        <v>42793</v>
      </c>
      <c r="C47" s="63" t="s">
        <v>510</v>
      </c>
      <c r="F47">
        <v>12368.19</v>
      </c>
      <c r="G47" s="119">
        <f>F47-F46</f>
        <v>0</v>
      </c>
    </row>
    <row r="48" spans="1:12" x14ac:dyDescent="0.25">
      <c r="A48" s="63">
        <v>10</v>
      </c>
      <c r="B48" s="69">
        <v>42794</v>
      </c>
      <c r="C48" s="63" t="s">
        <v>511</v>
      </c>
      <c r="D48" s="63">
        <v>69</v>
      </c>
      <c r="F48" s="63">
        <f t="shared" si="2"/>
        <v>12299.19</v>
      </c>
      <c r="J48" s="120"/>
    </row>
    <row r="49" spans="1:10" x14ac:dyDescent="0.25">
      <c r="A49" s="63">
        <v>10</v>
      </c>
      <c r="B49" s="69">
        <v>42794</v>
      </c>
      <c r="C49" s="63" t="s">
        <v>512</v>
      </c>
      <c r="D49" s="63">
        <v>64</v>
      </c>
      <c r="F49" s="63">
        <f t="shared" si="2"/>
        <v>12235.19</v>
      </c>
      <c r="I49" s="63">
        <f>F49</f>
        <v>12235.19</v>
      </c>
      <c r="J49" s="120"/>
    </row>
    <row r="50" spans="1:10" x14ac:dyDescent="0.25">
      <c r="A50" s="63">
        <v>10</v>
      </c>
      <c r="B50" s="69">
        <v>42795</v>
      </c>
      <c r="C50" s="63" t="s">
        <v>520</v>
      </c>
      <c r="E50">
        <v>6000</v>
      </c>
      <c r="F50" s="63">
        <f t="shared" si="2"/>
        <v>18235.190000000002</v>
      </c>
      <c r="J50" s="120"/>
    </row>
    <row r="51" spans="1:10" x14ac:dyDescent="0.25">
      <c r="A51" s="63">
        <v>10</v>
      </c>
      <c r="B51" s="69">
        <v>42795</v>
      </c>
      <c r="C51" s="63" t="s">
        <v>521</v>
      </c>
      <c r="E51">
        <v>6000</v>
      </c>
      <c r="F51" s="63">
        <f t="shared" si="2"/>
        <v>24235.190000000002</v>
      </c>
      <c r="J51" s="120"/>
    </row>
    <row r="52" spans="1:10" x14ac:dyDescent="0.25">
      <c r="A52" s="63">
        <v>10</v>
      </c>
      <c r="B52" s="69">
        <v>42795</v>
      </c>
      <c r="C52" s="63" t="s">
        <v>516</v>
      </c>
      <c r="D52">
        <v>12082.24</v>
      </c>
      <c r="F52" s="63">
        <f t="shared" si="2"/>
        <v>12152.950000000003</v>
      </c>
      <c r="J52" s="120"/>
    </row>
    <row r="53" spans="1:10" x14ac:dyDescent="0.25">
      <c r="A53" s="63">
        <v>10</v>
      </c>
      <c r="B53" s="69">
        <v>42795</v>
      </c>
      <c r="C53" s="63" t="s">
        <v>517</v>
      </c>
      <c r="D53">
        <v>1.1000000000000001</v>
      </c>
      <c r="F53" s="63">
        <f t="shared" si="2"/>
        <v>12151.850000000002</v>
      </c>
      <c r="J53" s="120"/>
    </row>
    <row r="54" spans="1:10" x14ac:dyDescent="0.25">
      <c r="A54" s="63">
        <v>10</v>
      </c>
      <c r="B54" s="69">
        <v>42796</v>
      </c>
      <c r="C54" s="63" t="s">
        <v>522</v>
      </c>
      <c r="E54">
        <v>6000</v>
      </c>
      <c r="F54" s="63">
        <f t="shared" si="2"/>
        <v>18151.850000000002</v>
      </c>
      <c r="J54" s="120"/>
    </row>
    <row r="55" spans="1:10" x14ac:dyDescent="0.25">
      <c r="A55" s="63">
        <v>10</v>
      </c>
      <c r="B55" s="69">
        <v>42797</v>
      </c>
      <c r="C55" s="63" t="s">
        <v>516</v>
      </c>
      <c r="D55">
        <v>18000</v>
      </c>
      <c r="F55" s="63">
        <f t="shared" si="2"/>
        <v>151.85000000000218</v>
      </c>
      <c r="J55" s="120"/>
    </row>
    <row r="56" spans="1:10" x14ac:dyDescent="0.25">
      <c r="A56" s="63">
        <v>10</v>
      </c>
      <c r="B56" s="69">
        <v>42797</v>
      </c>
      <c r="C56" s="63" t="s">
        <v>517</v>
      </c>
      <c r="D56">
        <v>1.1000000000000001</v>
      </c>
      <c r="F56" s="63">
        <f t="shared" si="2"/>
        <v>150.75000000000219</v>
      </c>
      <c r="J56" s="120"/>
    </row>
    <row r="57" spans="1:10" x14ac:dyDescent="0.25">
      <c r="A57" s="63">
        <v>10</v>
      </c>
      <c r="B57" s="69">
        <v>42814</v>
      </c>
      <c r="C57" s="63" t="s">
        <v>508</v>
      </c>
      <c r="E57">
        <v>200</v>
      </c>
      <c r="F57" s="63">
        <f t="shared" si="2"/>
        <v>350.75000000000216</v>
      </c>
      <c r="J57" s="120"/>
    </row>
    <row r="58" spans="1:10" x14ac:dyDescent="0.25">
      <c r="A58">
        <v>11</v>
      </c>
      <c r="B58" s="69">
        <v>42821</v>
      </c>
      <c r="C58" s="63" t="s">
        <v>510</v>
      </c>
      <c r="F58">
        <v>350.75</v>
      </c>
      <c r="G58" s="122">
        <f>F58-F57</f>
        <v>-2.1600499167107046E-12</v>
      </c>
    </row>
    <row r="59" spans="1:10" x14ac:dyDescent="0.25">
      <c r="A59">
        <v>11</v>
      </c>
      <c r="B59" s="69">
        <v>42825</v>
      </c>
      <c r="C59" s="63" t="s">
        <v>511</v>
      </c>
      <c r="D59" s="63">
        <v>69</v>
      </c>
      <c r="F59" s="63">
        <f t="shared" si="2"/>
        <v>281.75</v>
      </c>
      <c r="J59" s="120"/>
    </row>
    <row r="60" spans="1:10" x14ac:dyDescent="0.25">
      <c r="A60">
        <v>11</v>
      </c>
      <c r="B60" s="69">
        <v>42825</v>
      </c>
      <c r="C60" s="63" t="s">
        <v>512</v>
      </c>
      <c r="D60" s="63">
        <v>64</v>
      </c>
      <c r="F60" s="63">
        <f t="shared" si="2"/>
        <v>217.75</v>
      </c>
      <c r="I60">
        <f>F60</f>
        <v>217.75</v>
      </c>
      <c r="J60" s="120"/>
    </row>
    <row r="61" spans="1:10" x14ac:dyDescent="0.25">
      <c r="A61">
        <v>12</v>
      </c>
      <c r="B61" s="69">
        <v>42851</v>
      </c>
      <c r="C61" s="63" t="s">
        <v>510</v>
      </c>
      <c r="F61">
        <v>217.75</v>
      </c>
    </row>
    <row r="62" spans="1:10" x14ac:dyDescent="0.25">
      <c r="A62">
        <v>12</v>
      </c>
      <c r="B62" s="69">
        <v>42854</v>
      </c>
      <c r="C62" s="63" t="s">
        <v>511</v>
      </c>
      <c r="D62" s="63">
        <v>69</v>
      </c>
      <c r="F62" s="63">
        <f t="shared" si="2"/>
        <v>148.75</v>
      </c>
      <c r="J62" s="120"/>
    </row>
    <row r="63" spans="1:10" x14ac:dyDescent="0.25">
      <c r="A63">
        <v>12</v>
      </c>
      <c r="B63" s="69">
        <v>42854</v>
      </c>
      <c r="C63" s="63" t="s">
        <v>512</v>
      </c>
      <c r="D63" s="63">
        <v>64</v>
      </c>
      <c r="F63" s="63">
        <f t="shared" si="2"/>
        <v>84.75</v>
      </c>
      <c r="I63">
        <f>F63</f>
        <v>84.75</v>
      </c>
      <c r="J63" s="120"/>
    </row>
    <row r="64" spans="1:10" x14ac:dyDescent="0.25">
      <c r="A64">
        <v>12</v>
      </c>
      <c r="B64" s="69">
        <v>42866</v>
      </c>
      <c r="C64" s="123" t="s">
        <v>508</v>
      </c>
      <c r="E64">
        <v>200</v>
      </c>
      <c r="F64" s="63">
        <f t="shared" si="2"/>
        <v>284.75</v>
      </c>
      <c r="J64" s="120"/>
    </row>
    <row r="65" spans="1:10" x14ac:dyDescent="0.25">
      <c r="A65">
        <v>13</v>
      </c>
      <c r="B65" s="69">
        <v>42881</v>
      </c>
      <c r="C65" s="63" t="s">
        <v>510</v>
      </c>
      <c r="F65">
        <v>284.75</v>
      </c>
      <c r="G65" s="122">
        <f>F65-F64</f>
        <v>0</v>
      </c>
    </row>
    <row r="66" spans="1:10" x14ac:dyDescent="0.25">
      <c r="A66" s="63">
        <v>13</v>
      </c>
      <c r="B66" s="69">
        <v>42886</v>
      </c>
      <c r="C66" s="63" t="s">
        <v>511</v>
      </c>
      <c r="D66" s="63">
        <v>69</v>
      </c>
      <c r="F66" s="63">
        <f t="shared" si="2"/>
        <v>215.75</v>
      </c>
      <c r="J66" s="120"/>
    </row>
    <row r="67" spans="1:10" x14ac:dyDescent="0.25">
      <c r="A67" s="63">
        <v>13</v>
      </c>
      <c r="B67" s="69">
        <v>42886</v>
      </c>
      <c r="C67" s="63" t="s">
        <v>512</v>
      </c>
      <c r="D67" s="63">
        <v>64</v>
      </c>
      <c r="F67" s="63">
        <f t="shared" si="2"/>
        <v>151.75</v>
      </c>
      <c r="I67">
        <f>F67</f>
        <v>151.75</v>
      </c>
      <c r="J67" s="120"/>
    </row>
    <row r="68" spans="1:10" x14ac:dyDescent="0.25">
      <c r="A68">
        <v>14</v>
      </c>
      <c r="B68" s="69">
        <v>42912</v>
      </c>
      <c r="C68" s="63" t="s">
        <v>510</v>
      </c>
      <c r="F68">
        <v>151.75</v>
      </c>
      <c r="G68" s="122">
        <f>F68-F67</f>
        <v>0</v>
      </c>
    </row>
    <row r="69" spans="1:10" x14ac:dyDescent="0.25">
      <c r="A69">
        <v>14</v>
      </c>
      <c r="B69" s="69">
        <v>42916</v>
      </c>
      <c r="C69" s="63" t="s">
        <v>511</v>
      </c>
      <c r="D69" s="63">
        <v>69</v>
      </c>
      <c r="F69" s="63">
        <f t="shared" si="2"/>
        <v>82.75</v>
      </c>
      <c r="J69" s="120"/>
    </row>
    <row r="70" spans="1:10" x14ac:dyDescent="0.25">
      <c r="A70">
        <v>14</v>
      </c>
      <c r="B70" s="69">
        <v>42916</v>
      </c>
      <c r="C70" s="63" t="s">
        <v>512</v>
      </c>
      <c r="D70" s="63">
        <v>64</v>
      </c>
      <c r="F70" s="63">
        <f t="shared" si="2"/>
        <v>18.75</v>
      </c>
      <c r="I70" s="63">
        <f>F70</f>
        <v>18.75</v>
      </c>
      <c r="J70" s="120"/>
    </row>
    <row r="71" spans="1:10" x14ac:dyDescent="0.25">
      <c r="A71">
        <v>15</v>
      </c>
      <c r="B71" s="69">
        <v>42942</v>
      </c>
      <c r="C71" s="63" t="s">
        <v>510</v>
      </c>
      <c r="F71">
        <v>18.75</v>
      </c>
      <c r="G71" s="122">
        <f>F71-F70</f>
        <v>0</v>
      </c>
    </row>
    <row r="72" spans="1:10" x14ac:dyDescent="0.25">
      <c r="A72" s="63">
        <v>15</v>
      </c>
      <c r="B72" s="69">
        <v>42947</v>
      </c>
      <c r="C72" s="63" t="s">
        <v>511</v>
      </c>
      <c r="D72">
        <v>69</v>
      </c>
      <c r="F72" s="63">
        <f t="shared" si="2"/>
        <v>-50.25</v>
      </c>
      <c r="J72" s="120"/>
    </row>
    <row r="73" spans="1:10" x14ac:dyDescent="0.25">
      <c r="A73" s="63">
        <v>15</v>
      </c>
      <c r="B73" s="69">
        <v>42947</v>
      </c>
      <c r="C73" s="63" t="s">
        <v>512</v>
      </c>
      <c r="D73">
        <v>64</v>
      </c>
      <c r="F73" s="63">
        <f t="shared" si="2"/>
        <v>-114.25</v>
      </c>
      <c r="I73">
        <f>F73</f>
        <v>-114.25</v>
      </c>
      <c r="J73" s="120"/>
    </row>
    <row r="74" spans="1:10" x14ac:dyDescent="0.25">
      <c r="A74" s="63">
        <v>15</v>
      </c>
      <c r="B74" s="69">
        <v>42965</v>
      </c>
      <c r="C74" s="63" t="s">
        <v>508</v>
      </c>
      <c r="E74">
        <v>250</v>
      </c>
      <c r="F74" s="63">
        <f t="shared" si="2"/>
        <v>135.75</v>
      </c>
      <c r="J74" s="120"/>
    </row>
    <row r="75" spans="1:10" x14ac:dyDescent="0.25">
      <c r="A75" s="63">
        <v>15</v>
      </c>
      <c r="B75" s="69">
        <v>42970</v>
      </c>
      <c r="C75" s="63" t="s">
        <v>508</v>
      </c>
      <c r="E75">
        <v>1000</v>
      </c>
      <c r="F75" s="63">
        <f t="shared" si="2"/>
        <v>1135.75</v>
      </c>
      <c r="J75" s="120"/>
    </row>
    <row r="76" spans="1:10" x14ac:dyDescent="0.25">
      <c r="A76" s="63">
        <v>15</v>
      </c>
      <c r="B76" s="69">
        <v>42972</v>
      </c>
      <c r="C76" s="63" t="s">
        <v>557</v>
      </c>
      <c r="D76">
        <v>0.06</v>
      </c>
      <c r="F76" s="63">
        <f t="shared" si="2"/>
        <v>1135.69</v>
      </c>
      <c r="J76" s="120"/>
    </row>
    <row r="77" spans="1:10" x14ac:dyDescent="0.25">
      <c r="A77" s="63">
        <v>15</v>
      </c>
      <c r="B77" s="69">
        <v>42972</v>
      </c>
      <c r="C77" s="63" t="s">
        <v>558</v>
      </c>
      <c r="D77">
        <v>1.1000000000000001</v>
      </c>
      <c r="F77" s="63">
        <f t="shared" si="2"/>
        <v>1134.5900000000001</v>
      </c>
      <c r="J77" s="120"/>
    </row>
    <row r="78" spans="1:10" x14ac:dyDescent="0.25">
      <c r="A78">
        <v>16</v>
      </c>
      <c r="B78" s="69">
        <v>42973</v>
      </c>
      <c r="C78" s="63" t="s">
        <v>510</v>
      </c>
      <c r="F78">
        <v>1134.5899999999999</v>
      </c>
      <c r="G78" s="122">
        <f>F78-F77</f>
        <v>0</v>
      </c>
    </row>
    <row r="79" spans="1:10" x14ac:dyDescent="0.25">
      <c r="A79" s="63">
        <v>16</v>
      </c>
      <c r="B79" s="69">
        <v>42978</v>
      </c>
      <c r="C79" s="63" t="s">
        <v>511</v>
      </c>
      <c r="D79" s="63">
        <v>69</v>
      </c>
      <c r="F79" s="63">
        <f t="shared" si="2"/>
        <v>1065.5899999999999</v>
      </c>
      <c r="I79" s="63">
        <f>F79</f>
        <v>1065.5899999999999</v>
      </c>
      <c r="J79" s="120"/>
    </row>
    <row r="80" spans="1:10" x14ac:dyDescent="0.25">
      <c r="A80" s="63">
        <v>16</v>
      </c>
      <c r="B80" s="69">
        <v>42999</v>
      </c>
      <c r="C80" s="63" t="s">
        <v>559</v>
      </c>
      <c r="D80" s="63">
        <v>64</v>
      </c>
      <c r="F80" s="63">
        <f t="shared" si="2"/>
        <v>1001.5899999999999</v>
      </c>
      <c r="J80" s="120"/>
    </row>
    <row r="81" spans="1:12" s="63" customFormat="1" x14ac:dyDescent="0.25">
      <c r="A81" s="63">
        <v>16</v>
      </c>
      <c r="B81" s="69">
        <v>42999</v>
      </c>
      <c r="C81" s="63" t="s">
        <v>560</v>
      </c>
      <c r="D81" s="63">
        <v>64</v>
      </c>
      <c r="F81" s="63">
        <f t="shared" si="2"/>
        <v>937.58999999999992</v>
      </c>
      <c r="J81" s="120"/>
    </row>
    <row r="82" spans="1:12" s="63" customFormat="1" x14ac:dyDescent="0.25">
      <c r="A82" s="63">
        <v>17</v>
      </c>
      <c r="B82" s="69">
        <v>43004</v>
      </c>
      <c r="C82" s="63" t="s">
        <v>510</v>
      </c>
      <c r="F82" s="63">
        <v>937.59</v>
      </c>
      <c r="G82" s="122">
        <f>F82-F81</f>
        <v>0</v>
      </c>
    </row>
    <row r="83" spans="1:12" s="63" customFormat="1" x14ac:dyDescent="0.25">
      <c r="A83" s="63">
        <v>17</v>
      </c>
      <c r="B83" s="69">
        <v>43008</v>
      </c>
      <c r="C83" s="63" t="s">
        <v>511</v>
      </c>
      <c r="D83" s="63">
        <v>69</v>
      </c>
      <c r="F83" s="63">
        <f t="shared" si="2"/>
        <v>868.59</v>
      </c>
      <c r="J83" s="120"/>
    </row>
    <row r="84" spans="1:12" s="63" customFormat="1" x14ac:dyDescent="0.25">
      <c r="A84" s="63">
        <v>17</v>
      </c>
      <c r="B84" s="69">
        <v>43008</v>
      </c>
      <c r="C84" s="63" t="s">
        <v>512</v>
      </c>
      <c r="D84" s="63">
        <v>64</v>
      </c>
      <c r="F84" s="63">
        <f t="shared" si="2"/>
        <v>804.59</v>
      </c>
      <c r="I84" s="63">
        <f>F84</f>
        <v>804.59</v>
      </c>
      <c r="J84" s="120"/>
    </row>
    <row r="85" spans="1:12" s="63" customFormat="1" x14ac:dyDescent="0.25">
      <c r="A85" s="63">
        <v>18</v>
      </c>
      <c r="B85" s="69">
        <v>43034</v>
      </c>
      <c r="C85" s="63" t="s">
        <v>510</v>
      </c>
      <c r="F85" s="63">
        <v>804.59</v>
      </c>
      <c r="G85" s="122">
        <f>F85-F84</f>
        <v>0</v>
      </c>
    </row>
    <row r="86" spans="1:12" s="63" customFormat="1" x14ac:dyDescent="0.25">
      <c r="A86" s="63">
        <v>18</v>
      </c>
      <c r="B86" s="69">
        <v>43039</v>
      </c>
      <c r="C86" s="63" t="s">
        <v>511</v>
      </c>
      <c r="D86" s="63">
        <v>69</v>
      </c>
      <c r="F86" s="63">
        <f t="shared" si="2"/>
        <v>735.59</v>
      </c>
      <c r="J86" s="120"/>
    </row>
    <row r="87" spans="1:12" s="63" customFormat="1" x14ac:dyDescent="0.25">
      <c r="A87" s="63">
        <v>18</v>
      </c>
      <c r="B87" s="69">
        <v>43039</v>
      </c>
      <c r="C87" s="63" t="s">
        <v>512</v>
      </c>
      <c r="D87" s="63">
        <v>64</v>
      </c>
      <c r="F87" s="63">
        <f t="shared" ref="F87:F93" si="3">F86+E87-D87</f>
        <v>671.59</v>
      </c>
      <c r="I87" s="63">
        <f>F87</f>
        <v>671.59</v>
      </c>
      <c r="J87" s="120"/>
    </row>
    <row r="88" spans="1:12" s="63" customFormat="1" x14ac:dyDescent="0.25">
      <c r="A88" s="63">
        <v>19</v>
      </c>
      <c r="B88" s="69">
        <v>43066</v>
      </c>
      <c r="C88" s="63" t="s">
        <v>510</v>
      </c>
      <c r="F88" s="63">
        <v>671.59</v>
      </c>
      <c r="G88" s="122">
        <f>F88-F87</f>
        <v>0</v>
      </c>
    </row>
    <row r="89" spans="1:12" s="63" customFormat="1" x14ac:dyDescent="0.25">
      <c r="A89" s="63">
        <v>19</v>
      </c>
      <c r="B89" s="69">
        <v>43069</v>
      </c>
      <c r="C89" s="63" t="s">
        <v>511</v>
      </c>
      <c r="D89" s="63">
        <v>69</v>
      </c>
      <c r="F89" s="63">
        <f t="shared" si="3"/>
        <v>602.59</v>
      </c>
      <c r="J89" s="120"/>
    </row>
    <row r="90" spans="1:12" s="63" customFormat="1" x14ac:dyDescent="0.25">
      <c r="A90" s="63">
        <v>19</v>
      </c>
      <c r="B90" s="69">
        <v>43069</v>
      </c>
      <c r="C90" s="63" t="s">
        <v>512</v>
      </c>
      <c r="D90" s="63">
        <v>64</v>
      </c>
      <c r="F90" s="63">
        <f t="shared" si="3"/>
        <v>538.59</v>
      </c>
      <c r="I90" s="63">
        <f>F90</f>
        <v>538.59</v>
      </c>
      <c r="J90" s="120"/>
    </row>
    <row r="91" spans="1:12" s="63" customFormat="1" x14ac:dyDescent="0.25">
      <c r="A91" s="63">
        <v>20</v>
      </c>
      <c r="B91" s="69">
        <v>43096</v>
      </c>
      <c r="C91" s="63" t="s">
        <v>510</v>
      </c>
      <c r="F91" s="63">
        <v>538.59</v>
      </c>
    </row>
    <row r="92" spans="1:12" s="63" customFormat="1" x14ac:dyDescent="0.25">
      <c r="A92" s="63">
        <v>20</v>
      </c>
      <c r="B92" s="69">
        <v>43099</v>
      </c>
      <c r="C92" s="63" t="s">
        <v>511</v>
      </c>
      <c r="D92" s="63">
        <v>69</v>
      </c>
      <c r="F92" s="63">
        <f t="shared" si="3"/>
        <v>469.59000000000003</v>
      </c>
      <c r="J92" s="120"/>
    </row>
    <row r="93" spans="1:12" s="63" customFormat="1" x14ac:dyDescent="0.25">
      <c r="A93" s="120">
        <v>20</v>
      </c>
      <c r="B93" s="121">
        <v>43099</v>
      </c>
      <c r="C93" s="120" t="s">
        <v>512</v>
      </c>
      <c r="D93" s="120">
        <v>64</v>
      </c>
      <c r="E93" s="120"/>
      <c r="F93" s="120">
        <f t="shared" si="3"/>
        <v>405.59000000000003</v>
      </c>
      <c r="G93" s="120"/>
      <c r="H93" s="120"/>
      <c r="I93" s="120">
        <f>F93</f>
        <v>405.59000000000003</v>
      </c>
      <c r="J93" s="120" t="s">
        <v>561</v>
      </c>
      <c r="K93" s="120"/>
      <c r="L93" s="120"/>
    </row>
    <row r="94" spans="1:12" s="63" customFormat="1" x14ac:dyDescent="0.25"/>
    <row r="95" spans="1:12" s="63" customFormat="1" x14ac:dyDescent="0.25"/>
    <row r="96" spans="1:12" s="63" customFormat="1" x14ac:dyDescent="0.25"/>
    <row r="97" s="63" customFormat="1" x14ac:dyDescent="0.25"/>
    <row r="98" s="63" customFormat="1" x14ac:dyDescent="0.25"/>
    <row r="99" s="63" customFormat="1" x14ac:dyDescent="0.25"/>
    <row r="100" s="63" customFormat="1" x14ac:dyDescent="0.25"/>
  </sheetData>
  <autoFilter ref="A9:J93"/>
  <pageMargins left="0.7" right="0.7" top="0.75" bottom="0.75" header="0.3" footer="0.3"/>
  <customProperties>
    <customPr name="_pios_id" r:id="rId1"/>
  </customProperties>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J18"/>
  <sheetViews>
    <sheetView workbookViewId="0"/>
  </sheetViews>
  <sheetFormatPr defaultRowHeight="15" x14ac:dyDescent="0.25"/>
  <cols>
    <col min="1" max="2" width="9.140625" style="63"/>
    <col min="3" max="3" width="54.28515625" style="63" customWidth="1"/>
    <col min="4" max="6" width="1.42578125" style="63" customWidth="1"/>
    <col min="7" max="7" width="9.5703125" style="63" bestFit="1" customWidth="1"/>
    <col min="8" max="8" width="10.5703125" style="63" customWidth="1"/>
    <col min="9" max="9" width="1.42578125" style="63" customWidth="1"/>
    <col min="10" max="10" width="59" style="63" customWidth="1"/>
    <col min="11" max="11" width="2.7109375" style="63" customWidth="1"/>
    <col min="12" max="16384" width="9.140625" style="63"/>
  </cols>
  <sheetData>
    <row r="1" spans="1:10" ht="15.75" thickBot="1" x14ac:dyDescent="0.3">
      <c r="A1" s="64" t="s">
        <v>484</v>
      </c>
    </row>
    <row r="2" spans="1:10" ht="15.75" thickBot="1" x14ac:dyDescent="0.3">
      <c r="A2" s="77" t="s">
        <v>529</v>
      </c>
      <c r="B2" s="61"/>
      <c r="C2" s="61"/>
      <c r="D2" s="61"/>
      <c r="G2" s="171" t="s">
        <v>574</v>
      </c>
      <c r="H2" s="172"/>
      <c r="I2" s="172"/>
      <c r="J2" s="173"/>
    </row>
    <row r="3" spans="1:10" x14ac:dyDescent="0.25">
      <c r="A3" s="64" t="s">
        <v>138</v>
      </c>
      <c r="B3" s="64" t="s">
        <v>139</v>
      </c>
      <c r="C3" s="64" t="s">
        <v>140</v>
      </c>
      <c r="D3" s="64"/>
      <c r="E3" s="64"/>
      <c r="F3" s="64"/>
      <c r="G3" s="125" t="s">
        <v>405</v>
      </c>
      <c r="H3" s="126" t="s">
        <v>406</v>
      </c>
      <c r="I3" s="127"/>
      <c r="J3" s="126" t="s">
        <v>530</v>
      </c>
    </row>
    <row r="4" spans="1:10" x14ac:dyDescent="0.25">
      <c r="A4" s="63">
        <f>GC_TB_2016!H4+SUM(GC_TB_2016!H9:H14)</f>
        <v>841.05</v>
      </c>
      <c r="B4" s="64" t="s">
        <v>389</v>
      </c>
      <c r="C4" s="64" t="s">
        <v>390</v>
      </c>
      <c r="D4" s="64"/>
      <c r="E4" s="64"/>
      <c r="F4" s="64"/>
      <c r="G4" s="128">
        <f>ROUND(H4,0)</f>
        <v>841</v>
      </c>
      <c r="H4" s="129">
        <f>A4</f>
        <v>841.05</v>
      </c>
      <c r="I4" s="127"/>
      <c r="J4" s="127" t="s">
        <v>532</v>
      </c>
    </row>
    <row r="5" spans="1:10" x14ac:dyDescent="0.25">
      <c r="A5" s="63">
        <f>GC_TB_2016!H5</f>
        <v>0</v>
      </c>
      <c r="B5" s="63" t="s">
        <v>141</v>
      </c>
      <c r="C5" s="63" t="s">
        <v>162</v>
      </c>
      <c r="G5" s="127">
        <f t="shared" ref="G5:G11" si="0">ROUND(H5,0)</f>
        <v>0</v>
      </c>
      <c r="H5" s="127">
        <f>GC_GL_2017!E49</f>
        <v>0</v>
      </c>
      <c r="I5" s="127"/>
      <c r="J5" s="127" t="s">
        <v>534</v>
      </c>
    </row>
    <row r="6" spans="1:10" x14ac:dyDescent="0.25">
      <c r="A6" s="63">
        <f>GC_TB_2016!H6</f>
        <v>12001.19</v>
      </c>
      <c r="B6" s="63" t="s">
        <v>142</v>
      </c>
      <c r="C6" s="63" t="s">
        <v>527</v>
      </c>
      <c r="G6" s="127">
        <f t="shared" si="0"/>
        <v>406</v>
      </c>
      <c r="H6" s="127">
        <f>GC_GL_2017!E90</f>
        <v>405.59000000000015</v>
      </c>
      <c r="I6" s="127"/>
      <c r="J6" s="127" t="s">
        <v>533</v>
      </c>
    </row>
    <row r="7" spans="1:10" x14ac:dyDescent="0.25">
      <c r="A7" s="63">
        <f>GC_TB_2016!H7</f>
        <v>-12842.240000000002</v>
      </c>
      <c r="B7" s="63" t="s">
        <v>164</v>
      </c>
      <c r="C7" s="63" t="s">
        <v>526</v>
      </c>
      <c r="G7" s="127">
        <f>ROUND(H7,0)+G18</f>
        <v>-2910</v>
      </c>
      <c r="H7" s="127">
        <f>GC_GL_2017!E100</f>
        <v>-2910</v>
      </c>
      <c r="I7" s="127"/>
      <c r="J7" s="127" t="s">
        <v>535</v>
      </c>
    </row>
    <row r="8" spans="1:10" x14ac:dyDescent="0.25">
      <c r="C8" s="63" t="s">
        <v>577</v>
      </c>
      <c r="G8" s="127"/>
      <c r="H8" s="127"/>
      <c r="I8" s="127"/>
      <c r="J8" s="127"/>
    </row>
    <row r="9" spans="1:10" x14ac:dyDescent="0.25">
      <c r="A9" s="63">
        <f>GC_TB_2016!H9</f>
        <v>-36246.720000000001</v>
      </c>
      <c r="B9" s="63" t="s">
        <v>562</v>
      </c>
      <c r="C9" s="63" t="s">
        <v>563</v>
      </c>
      <c r="G9" s="127">
        <f t="shared" si="0"/>
        <v>-18000</v>
      </c>
      <c r="H9" s="127">
        <f>GC_GL_2017!E8</f>
        <v>-18000</v>
      </c>
      <c r="I9" s="127"/>
      <c r="J9" s="127" t="s">
        <v>575</v>
      </c>
    </row>
    <row r="10" spans="1:10" x14ac:dyDescent="0.25">
      <c r="C10" s="63" t="s">
        <v>578</v>
      </c>
      <c r="G10" s="127"/>
      <c r="H10" s="127"/>
      <c r="I10" s="127"/>
      <c r="J10" s="127"/>
    </row>
    <row r="11" spans="1:10" x14ac:dyDescent="0.25">
      <c r="A11" s="63">
        <f>GC_TB_2016!H11</f>
        <v>36246.720000000001</v>
      </c>
      <c r="B11" s="63" t="s">
        <v>569</v>
      </c>
      <c r="C11" s="63" t="s">
        <v>570</v>
      </c>
      <c r="G11" s="127">
        <f t="shared" si="0"/>
        <v>18000</v>
      </c>
      <c r="H11" s="127">
        <f>GC_GL_2017!E10</f>
        <v>18000</v>
      </c>
      <c r="I11" s="127"/>
      <c r="J11" s="127" t="s">
        <v>576</v>
      </c>
    </row>
    <row r="12" spans="1:10" x14ac:dyDescent="0.25">
      <c r="G12" s="127"/>
      <c r="H12" s="127"/>
      <c r="I12" s="127"/>
      <c r="J12" s="127"/>
    </row>
    <row r="13" spans="1:10" x14ac:dyDescent="0.25">
      <c r="C13" s="63" t="s">
        <v>165</v>
      </c>
      <c r="G13" s="127"/>
      <c r="H13" s="127"/>
      <c r="I13" s="127"/>
      <c r="J13" s="127"/>
    </row>
    <row r="14" spans="1:10" x14ac:dyDescent="0.25">
      <c r="A14" s="63">
        <f>GC_TB_2016!H14</f>
        <v>841.05</v>
      </c>
      <c r="B14" s="63" t="s">
        <v>143</v>
      </c>
      <c r="C14" s="63" t="s">
        <v>144</v>
      </c>
      <c r="G14" s="127">
        <f>ROUND(H14,0)</f>
        <v>1662</v>
      </c>
      <c r="H14" s="127">
        <f>GC_GL_2017!E38</f>
        <v>1662.2</v>
      </c>
      <c r="I14" s="127"/>
      <c r="J14" s="127" t="s">
        <v>536</v>
      </c>
    </row>
    <row r="15" spans="1:10" x14ac:dyDescent="0.25">
      <c r="A15" s="63">
        <v>0</v>
      </c>
      <c r="B15" s="63" t="s">
        <v>580</v>
      </c>
      <c r="C15" s="63" t="s">
        <v>581</v>
      </c>
      <c r="G15" s="127">
        <f>ROUND(H15,0)</f>
        <v>1</v>
      </c>
      <c r="H15" s="130">
        <f>GC_GL_2017!E41</f>
        <v>1.1600000000000001</v>
      </c>
      <c r="I15" s="127"/>
      <c r="J15" s="127" t="s">
        <v>531</v>
      </c>
    </row>
    <row r="16" spans="1:10" x14ac:dyDescent="0.25">
      <c r="G16" s="130">
        <f>SUM(G4:G15)</f>
        <v>0</v>
      </c>
      <c r="H16" s="130">
        <f>SUM(H4:H15)</f>
        <v>-5.3645976549887564E-13</v>
      </c>
      <c r="I16" s="127"/>
      <c r="J16" s="127" t="s">
        <v>588</v>
      </c>
    </row>
    <row r="18" spans="7:10" x14ac:dyDescent="0.25">
      <c r="G18" s="127">
        <v>0</v>
      </c>
      <c r="H18" s="127"/>
      <c r="I18" s="127"/>
      <c r="J18" s="127" t="s">
        <v>176</v>
      </c>
    </row>
  </sheetData>
  <mergeCells count="1">
    <mergeCell ref="G2:J2"/>
  </mergeCells>
  <pageMargins left="0.7" right="0.7" top="0.75" bottom="0.75" header="0.3" footer="0.3"/>
  <customProperties>
    <customPr name="_pios_id" r:id="rId1"/>
  </customPropertie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I104"/>
  <sheetViews>
    <sheetView workbookViewId="0"/>
  </sheetViews>
  <sheetFormatPr defaultRowHeight="15" x14ac:dyDescent="0.25"/>
  <cols>
    <col min="1" max="1" width="12.7109375" style="63" customWidth="1"/>
    <col min="2" max="2" width="39" style="63" customWidth="1"/>
    <col min="3" max="3" width="30" style="63" customWidth="1"/>
    <col min="4" max="4" width="18" style="63" customWidth="1"/>
    <col min="5" max="5" width="10.140625" style="63" customWidth="1"/>
    <col min="6" max="6" width="10.85546875" style="63" customWidth="1"/>
    <col min="7" max="7" width="50.5703125" style="63" customWidth="1"/>
    <col min="8" max="8" width="8.140625" style="63" customWidth="1"/>
    <col min="9" max="9" width="18.7109375" style="63" customWidth="1"/>
    <col min="10" max="16384" width="9.140625" style="63"/>
  </cols>
  <sheetData>
    <row r="1" spans="1:9" x14ac:dyDescent="0.25">
      <c r="A1" s="64" t="s">
        <v>484</v>
      </c>
      <c r="C1" s="64"/>
    </row>
    <row r="2" spans="1:9" x14ac:dyDescent="0.25">
      <c r="A2" s="64" t="s">
        <v>523</v>
      </c>
      <c r="C2" s="64"/>
    </row>
    <row r="3" spans="1:9" x14ac:dyDescent="0.25">
      <c r="A3" s="63" t="s">
        <v>407</v>
      </c>
      <c r="B3" s="63" t="s">
        <v>408</v>
      </c>
      <c r="C3" s="64" t="s">
        <v>145</v>
      </c>
      <c r="D3" s="64" t="s">
        <v>146</v>
      </c>
      <c r="E3" s="64" t="s">
        <v>147</v>
      </c>
      <c r="F3" s="64" t="s">
        <v>148</v>
      </c>
      <c r="G3" s="64" t="s">
        <v>149</v>
      </c>
      <c r="H3" s="64" t="s">
        <v>163</v>
      </c>
      <c r="I3" s="64" t="s">
        <v>409</v>
      </c>
    </row>
    <row r="4" spans="1:9" x14ac:dyDescent="0.25">
      <c r="F4" s="64" t="s">
        <v>150</v>
      </c>
      <c r="G4" s="64" t="s">
        <v>140</v>
      </c>
    </row>
    <row r="5" spans="1:9" x14ac:dyDescent="0.25">
      <c r="A5" s="63" t="s">
        <v>562</v>
      </c>
      <c r="B5" s="63" t="s">
        <v>563</v>
      </c>
      <c r="C5" s="138">
        <v>42794</v>
      </c>
      <c r="D5" s="64" t="s">
        <v>564</v>
      </c>
      <c r="E5" s="64" t="s">
        <v>582</v>
      </c>
      <c r="F5" s="64" t="s">
        <v>141</v>
      </c>
      <c r="G5" s="64" t="s">
        <v>566</v>
      </c>
      <c r="H5" s="63">
        <v>-6000</v>
      </c>
      <c r="I5" s="63">
        <f>H5</f>
        <v>-6000</v>
      </c>
    </row>
    <row r="6" spans="1:9" x14ac:dyDescent="0.25">
      <c r="A6" s="63" t="s">
        <v>562</v>
      </c>
      <c r="B6" s="63" t="s">
        <v>563</v>
      </c>
      <c r="C6" s="138">
        <v>42794</v>
      </c>
      <c r="D6" s="64" t="s">
        <v>564</v>
      </c>
      <c r="E6" s="64" t="s">
        <v>583</v>
      </c>
      <c r="F6" s="64" t="s">
        <v>141</v>
      </c>
      <c r="G6" s="64" t="s">
        <v>566</v>
      </c>
      <c r="H6" s="63">
        <v>-6000</v>
      </c>
      <c r="I6" s="63">
        <f>I5+H6</f>
        <v>-12000</v>
      </c>
    </row>
    <row r="7" spans="1:9" x14ac:dyDescent="0.25">
      <c r="A7" s="63" t="s">
        <v>562</v>
      </c>
      <c r="B7" s="63" t="s">
        <v>563</v>
      </c>
      <c r="C7" s="138">
        <v>42794</v>
      </c>
      <c r="D7" s="64" t="s">
        <v>564</v>
      </c>
      <c r="E7" s="64" t="s">
        <v>584</v>
      </c>
      <c r="F7" s="64" t="s">
        <v>141</v>
      </c>
      <c r="G7" s="64" t="s">
        <v>566</v>
      </c>
      <c r="H7" s="63">
        <v>-6000</v>
      </c>
      <c r="I7" s="63">
        <f>I6+H7</f>
        <v>-18000</v>
      </c>
    </row>
    <row r="8" spans="1:9" x14ac:dyDescent="0.25">
      <c r="A8" s="63" t="s">
        <v>562</v>
      </c>
      <c r="B8" s="63" t="s">
        <v>563</v>
      </c>
      <c r="C8" s="139" t="s">
        <v>525</v>
      </c>
      <c r="D8" s="139" t="s">
        <v>140</v>
      </c>
      <c r="E8" s="120">
        <f>I7</f>
        <v>-18000</v>
      </c>
      <c r="F8" s="64"/>
      <c r="G8" s="64"/>
    </row>
    <row r="9" spans="1:9" x14ac:dyDescent="0.25">
      <c r="A9" s="63" t="s">
        <v>569</v>
      </c>
      <c r="B9" s="63" t="s">
        <v>570</v>
      </c>
      <c r="C9" s="138">
        <v>42794</v>
      </c>
      <c r="D9" s="64" t="s">
        <v>571</v>
      </c>
      <c r="E9" s="64" t="s">
        <v>586</v>
      </c>
      <c r="F9" s="64" t="s">
        <v>164</v>
      </c>
      <c r="G9" s="64" t="s">
        <v>587</v>
      </c>
      <c r="H9" s="63">
        <v>18000</v>
      </c>
      <c r="I9" s="63">
        <f>H9</f>
        <v>18000</v>
      </c>
    </row>
    <row r="10" spans="1:9" x14ac:dyDescent="0.25">
      <c r="A10" s="63" t="s">
        <v>569</v>
      </c>
      <c r="B10" s="63" t="s">
        <v>570</v>
      </c>
      <c r="C10" s="139" t="s">
        <v>525</v>
      </c>
      <c r="D10" s="139"/>
      <c r="E10" s="139">
        <f>I9</f>
        <v>18000</v>
      </c>
      <c r="F10" s="64"/>
      <c r="G10" s="64"/>
    </row>
    <row r="11" spans="1:9" x14ac:dyDescent="0.25">
      <c r="A11" s="63" t="s">
        <v>143</v>
      </c>
      <c r="B11" s="63" t="s">
        <v>144</v>
      </c>
      <c r="C11" s="69">
        <v>42766</v>
      </c>
      <c r="D11" s="63" t="s">
        <v>524</v>
      </c>
      <c r="E11" s="63">
        <v>9</v>
      </c>
      <c r="F11" s="63" t="s">
        <v>142</v>
      </c>
      <c r="G11" s="63" t="s">
        <v>511</v>
      </c>
      <c r="H11" s="63">
        <v>69</v>
      </c>
      <c r="I11" s="63">
        <f>H11</f>
        <v>69</v>
      </c>
    </row>
    <row r="12" spans="1:9" x14ac:dyDescent="0.25">
      <c r="A12" s="63" t="s">
        <v>143</v>
      </c>
      <c r="B12" s="63" t="s">
        <v>144</v>
      </c>
      <c r="C12" s="69">
        <v>42766</v>
      </c>
      <c r="D12" s="63" t="s">
        <v>524</v>
      </c>
      <c r="E12" s="63">
        <v>9</v>
      </c>
      <c r="F12" s="63" t="s">
        <v>142</v>
      </c>
      <c r="G12" s="63" t="s">
        <v>512</v>
      </c>
      <c r="H12" s="63">
        <v>64</v>
      </c>
      <c r="I12" s="63">
        <f>I11+H12</f>
        <v>133</v>
      </c>
    </row>
    <row r="13" spans="1:9" x14ac:dyDescent="0.25">
      <c r="A13" s="63" t="s">
        <v>143</v>
      </c>
      <c r="B13" s="63" t="s">
        <v>144</v>
      </c>
      <c r="C13" s="69">
        <v>42794</v>
      </c>
      <c r="D13" s="63" t="s">
        <v>524</v>
      </c>
      <c r="E13" s="63">
        <v>10</v>
      </c>
      <c r="F13" s="63" t="s">
        <v>142</v>
      </c>
      <c r="G13" s="63" t="s">
        <v>511</v>
      </c>
      <c r="H13" s="63">
        <v>69</v>
      </c>
      <c r="I13" s="63">
        <f t="shared" ref="I13:I37" si="0">I12+H13</f>
        <v>202</v>
      </c>
    </row>
    <row r="14" spans="1:9" x14ac:dyDescent="0.25">
      <c r="A14" s="63" t="s">
        <v>143</v>
      </c>
      <c r="B14" s="63" t="s">
        <v>144</v>
      </c>
      <c r="C14" s="69">
        <v>42794</v>
      </c>
      <c r="D14" s="63" t="s">
        <v>524</v>
      </c>
      <c r="E14" s="63">
        <v>10</v>
      </c>
      <c r="F14" s="63" t="s">
        <v>142</v>
      </c>
      <c r="G14" s="63" t="s">
        <v>512</v>
      </c>
      <c r="H14" s="63">
        <v>64</v>
      </c>
      <c r="I14" s="63">
        <f t="shared" si="0"/>
        <v>266</v>
      </c>
    </row>
    <row r="15" spans="1:9" x14ac:dyDescent="0.25">
      <c r="A15" s="63" t="s">
        <v>143</v>
      </c>
      <c r="B15" s="63" t="s">
        <v>144</v>
      </c>
      <c r="C15" s="69">
        <v>42795</v>
      </c>
      <c r="D15" s="63" t="s">
        <v>524</v>
      </c>
      <c r="E15" s="63">
        <v>10</v>
      </c>
      <c r="F15" s="63" t="s">
        <v>142</v>
      </c>
      <c r="G15" s="63" t="s">
        <v>517</v>
      </c>
      <c r="H15" s="63">
        <v>1.1000000000000001</v>
      </c>
      <c r="I15" s="63">
        <f t="shared" si="0"/>
        <v>267.10000000000002</v>
      </c>
    </row>
    <row r="16" spans="1:9" x14ac:dyDescent="0.25">
      <c r="A16" s="63" t="s">
        <v>143</v>
      </c>
      <c r="B16" s="63" t="s">
        <v>144</v>
      </c>
      <c r="C16" s="69">
        <v>42797</v>
      </c>
      <c r="D16" s="63" t="s">
        <v>524</v>
      </c>
      <c r="E16" s="63">
        <v>10</v>
      </c>
      <c r="F16" s="63" t="s">
        <v>142</v>
      </c>
      <c r="G16" s="63" t="s">
        <v>517</v>
      </c>
      <c r="H16" s="63">
        <v>1.1000000000000001</v>
      </c>
      <c r="I16" s="63">
        <f t="shared" si="0"/>
        <v>268.20000000000005</v>
      </c>
    </row>
    <row r="17" spans="1:9" x14ac:dyDescent="0.25">
      <c r="A17" s="63" t="s">
        <v>143</v>
      </c>
      <c r="B17" s="63" t="s">
        <v>144</v>
      </c>
      <c r="C17" s="69">
        <v>42825</v>
      </c>
      <c r="D17" s="63" t="s">
        <v>524</v>
      </c>
      <c r="E17" s="63">
        <v>11</v>
      </c>
      <c r="F17" s="63" t="s">
        <v>142</v>
      </c>
      <c r="G17" s="63" t="s">
        <v>511</v>
      </c>
      <c r="H17" s="63">
        <v>69</v>
      </c>
      <c r="I17" s="63">
        <f t="shared" si="0"/>
        <v>337.20000000000005</v>
      </c>
    </row>
    <row r="18" spans="1:9" x14ac:dyDescent="0.25">
      <c r="A18" s="63" t="s">
        <v>143</v>
      </c>
      <c r="B18" s="63" t="s">
        <v>144</v>
      </c>
      <c r="C18" s="69">
        <v>42825</v>
      </c>
      <c r="D18" s="63" t="s">
        <v>524</v>
      </c>
      <c r="E18" s="63">
        <v>11</v>
      </c>
      <c r="F18" s="63" t="s">
        <v>142</v>
      </c>
      <c r="G18" s="63" t="s">
        <v>512</v>
      </c>
      <c r="H18" s="63">
        <v>64</v>
      </c>
      <c r="I18" s="63">
        <f t="shared" si="0"/>
        <v>401.20000000000005</v>
      </c>
    </row>
    <row r="19" spans="1:9" x14ac:dyDescent="0.25">
      <c r="A19" s="63" t="s">
        <v>143</v>
      </c>
      <c r="B19" s="63" t="s">
        <v>144</v>
      </c>
      <c r="C19" s="69">
        <v>42854</v>
      </c>
      <c r="D19" s="63" t="s">
        <v>524</v>
      </c>
      <c r="E19" s="63">
        <v>12</v>
      </c>
      <c r="F19" s="63" t="s">
        <v>142</v>
      </c>
      <c r="G19" s="63" t="s">
        <v>511</v>
      </c>
      <c r="H19" s="63">
        <v>69</v>
      </c>
      <c r="I19" s="63">
        <f t="shared" si="0"/>
        <v>470.20000000000005</v>
      </c>
    </row>
    <row r="20" spans="1:9" x14ac:dyDescent="0.25">
      <c r="A20" s="63" t="s">
        <v>143</v>
      </c>
      <c r="B20" s="63" t="s">
        <v>144</v>
      </c>
      <c r="C20" s="69">
        <v>42854</v>
      </c>
      <c r="D20" s="63" t="s">
        <v>524</v>
      </c>
      <c r="E20" s="63">
        <v>12</v>
      </c>
      <c r="F20" s="63" t="s">
        <v>142</v>
      </c>
      <c r="G20" s="63" t="s">
        <v>512</v>
      </c>
      <c r="H20" s="63">
        <v>64</v>
      </c>
      <c r="I20" s="63">
        <f t="shared" si="0"/>
        <v>534.20000000000005</v>
      </c>
    </row>
    <row r="21" spans="1:9" x14ac:dyDescent="0.25">
      <c r="A21" s="63" t="s">
        <v>143</v>
      </c>
      <c r="B21" s="63" t="s">
        <v>144</v>
      </c>
      <c r="C21" s="69">
        <v>42886</v>
      </c>
      <c r="D21" s="63" t="s">
        <v>524</v>
      </c>
      <c r="E21" s="63">
        <v>13</v>
      </c>
      <c r="F21" s="63" t="s">
        <v>142</v>
      </c>
      <c r="G21" s="63" t="s">
        <v>511</v>
      </c>
      <c r="H21" s="63">
        <v>69</v>
      </c>
      <c r="I21" s="63">
        <f t="shared" si="0"/>
        <v>603.20000000000005</v>
      </c>
    </row>
    <row r="22" spans="1:9" x14ac:dyDescent="0.25">
      <c r="A22" s="63" t="s">
        <v>143</v>
      </c>
      <c r="B22" s="63" t="s">
        <v>144</v>
      </c>
      <c r="C22" s="69">
        <v>42886</v>
      </c>
      <c r="D22" s="63" t="s">
        <v>524</v>
      </c>
      <c r="E22" s="63">
        <v>13</v>
      </c>
      <c r="F22" s="63" t="s">
        <v>142</v>
      </c>
      <c r="G22" s="63" t="s">
        <v>512</v>
      </c>
      <c r="H22" s="63">
        <v>64</v>
      </c>
      <c r="I22" s="63">
        <f t="shared" si="0"/>
        <v>667.2</v>
      </c>
    </row>
    <row r="23" spans="1:9" x14ac:dyDescent="0.25">
      <c r="A23" s="63" t="s">
        <v>143</v>
      </c>
      <c r="B23" s="63" t="s">
        <v>144</v>
      </c>
      <c r="C23" s="69">
        <v>42916</v>
      </c>
      <c r="D23" s="63" t="s">
        <v>524</v>
      </c>
      <c r="E23" s="63">
        <v>14</v>
      </c>
      <c r="F23" s="63" t="s">
        <v>142</v>
      </c>
      <c r="G23" s="63" t="s">
        <v>511</v>
      </c>
      <c r="H23" s="63">
        <v>69</v>
      </c>
      <c r="I23" s="63">
        <f t="shared" si="0"/>
        <v>736.2</v>
      </c>
    </row>
    <row r="24" spans="1:9" x14ac:dyDescent="0.25">
      <c r="A24" s="63" t="s">
        <v>143</v>
      </c>
      <c r="B24" s="63" t="s">
        <v>144</v>
      </c>
      <c r="C24" s="69">
        <v>42916</v>
      </c>
      <c r="D24" s="63" t="s">
        <v>524</v>
      </c>
      <c r="E24" s="63">
        <v>14</v>
      </c>
      <c r="F24" s="63" t="s">
        <v>142</v>
      </c>
      <c r="G24" s="63" t="s">
        <v>512</v>
      </c>
      <c r="H24" s="63">
        <v>64</v>
      </c>
      <c r="I24" s="63">
        <f t="shared" si="0"/>
        <v>800.2</v>
      </c>
    </row>
    <row r="25" spans="1:9" x14ac:dyDescent="0.25">
      <c r="A25" s="63" t="s">
        <v>143</v>
      </c>
      <c r="B25" s="63" t="s">
        <v>144</v>
      </c>
      <c r="C25" s="69">
        <v>42947</v>
      </c>
      <c r="D25" s="63" t="s">
        <v>524</v>
      </c>
      <c r="E25" s="63">
        <v>15</v>
      </c>
      <c r="F25" s="63" t="s">
        <v>142</v>
      </c>
      <c r="G25" s="63" t="s">
        <v>511</v>
      </c>
      <c r="H25" s="63">
        <v>69</v>
      </c>
      <c r="I25" s="63">
        <f t="shared" si="0"/>
        <v>869.2</v>
      </c>
    </row>
    <row r="26" spans="1:9" x14ac:dyDescent="0.25">
      <c r="A26" s="63" t="s">
        <v>143</v>
      </c>
      <c r="B26" s="63" t="s">
        <v>144</v>
      </c>
      <c r="C26" s="69">
        <v>42947</v>
      </c>
      <c r="D26" s="63" t="s">
        <v>524</v>
      </c>
      <c r="E26" s="63">
        <v>15</v>
      </c>
      <c r="F26" s="63" t="s">
        <v>142</v>
      </c>
      <c r="G26" s="63" t="s">
        <v>512</v>
      </c>
      <c r="H26" s="63">
        <v>64</v>
      </c>
      <c r="I26" s="63">
        <f t="shared" si="0"/>
        <v>933.2</v>
      </c>
    </row>
    <row r="27" spans="1:9" x14ac:dyDescent="0.25">
      <c r="A27" s="63" t="s">
        <v>143</v>
      </c>
      <c r="B27" s="63" t="s">
        <v>144</v>
      </c>
      <c r="C27" s="69">
        <v>42978</v>
      </c>
      <c r="D27" s="63" t="s">
        <v>524</v>
      </c>
      <c r="E27" s="63">
        <v>16</v>
      </c>
      <c r="F27" s="63" t="s">
        <v>142</v>
      </c>
      <c r="G27" s="63" t="s">
        <v>511</v>
      </c>
      <c r="H27" s="63">
        <v>69</v>
      </c>
      <c r="I27" s="63">
        <f t="shared" si="0"/>
        <v>1002.2</v>
      </c>
    </row>
    <row r="28" spans="1:9" x14ac:dyDescent="0.25">
      <c r="A28" s="63" t="s">
        <v>143</v>
      </c>
      <c r="B28" s="63" t="s">
        <v>144</v>
      </c>
      <c r="C28" s="69">
        <v>42999</v>
      </c>
      <c r="D28" s="63" t="s">
        <v>524</v>
      </c>
      <c r="E28" s="63">
        <v>16</v>
      </c>
      <c r="F28" s="63" t="s">
        <v>142</v>
      </c>
      <c r="G28" s="63" t="s">
        <v>559</v>
      </c>
      <c r="H28" s="63">
        <v>64</v>
      </c>
      <c r="I28" s="63">
        <f t="shared" si="0"/>
        <v>1066.2</v>
      </c>
    </row>
    <row r="29" spans="1:9" x14ac:dyDescent="0.25">
      <c r="A29" s="63" t="s">
        <v>143</v>
      </c>
      <c r="B29" s="63" t="s">
        <v>144</v>
      </c>
      <c r="C29" s="69">
        <v>42999</v>
      </c>
      <c r="D29" s="63" t="s">
        <v>524</v>
      </c>
      <c r="E29" s="63">
        <v>16</v>
      </c>
      <c r="F29" s="63" t="s">
        <v>142</v>
      </c>
      <c r="G29" s="63" t="s">
        <v>560</v>
      </c>
      <c r="H29" s="63">
        <v>64</v>
      </c>
      <c r="I29" s="63">
        <f t="shared" si="0"/>
        <v>1130.2</v>
      </c>
    </row>
    <row r="30" spans="1:9" x14ac:dyDescent="0.25">
      <c r="A30" s="63" t="s">
        <v>143</v>
      </c>
      <c r="B30" s="63" t="s">
        <v>144</v>
      </c>
      <c r="C30" s="69">
        <v>43008</v>
      </c>
      <c r="D30" s="63" t="s">
        <v>524</v>
      </c>
      <c r="E30" s="63">
        <v>17</v>
      </c>
      <c r="F30" s="63" t="s">
        <v>142</v>
      </c>
      <c r="G30" s="63" t="s">
        <v>511</v>
      </c>
      <c r="H30" s="63">
        <v>69</v>
      </c>
      <c r="I30" s="63">
        <f t="shared" si="0"/>
        <v>1199.2</v>
      </c>
    </row>
    <row r="31" spans="1:9" x14ac:dyDescent="0.25">
      <c r="A31" s="63" t="s">
        <v>143</v>
      </c>
      <c r="B31" s="63" t="s">
        <v>144</v>
      </c>
      <c r="C31" s="69">
        <v>43008</v>
      </c>
      <c r="D31" s="63" t="s">
        <v>524</v>
      </c>
      <c r="E31" s="63">
        <v>17</v>
      </c>
      <c r="F31" s="63" t="s">
        <v>142</v>
      </c>
      <c r="G31" s="63" t="s">
        <v>512</v>
      </c>
      <c r="H31" s="63">
        <v>64</v>
      </c>
      <c r="I31" s="63">
        <f t="shared" si="0"/>
        <v>1263.2</v>
      </c>
    </row>
    <row r="32" spans="1:9" x14ac:dyDescent="0.25">
      <c r="A32" s="63" t="s">
        <v>143</v>
      </c>
      <c r="B32" s="63" t="s">
        <v>144</v>
      </c>
      <c r="C32" s="69">
        <v>43039</v>
      </c>
      <c r="D32" s="63" t="s">
        <v>524</v>
      </c>
      <c r="E32" s="63">
        <v>18</v>
      </c>
      <c r="F32" s="63" t="s">
        <v>142</v>
      </c>
      <c r="G32" s="63" t="s">
        <v>511</v>
      </c>
      <c r="H32" s="63">
        <v>69</v>
      </c>
      <c r="I32" s="63">
        <f t="shared" si="0"/>
        <v>1332.2</v>
      </c>
    </row>
    <row r="33" spans="1:9" x14ac:dyDescent="0.25">
      <c r="A33" s="63" t="s">
        <v>143</v>
      </c>
      <c r="B33" s="63" t="s">
        <v>144</v>
      </c>
      <c r="C33" s="69">
        <v>43039</v>
      </c>
      <c r="D33" s="63" t="s">
        <v>524</v>
      </c>
      <c r="E33" s="63">
        <v>18</v>
      </c>
      <c r="F33" s="63" t="s">
        <v>142</v>
      </c>
      <c r="G33" s="63" t="s">
        <v>512</v>
      </c>
      <c r="H33" s="63">
        <v>64</v>
      </c>
      <c r="I33" s="63">
        <f t="shared" si="0"/>
        <v>1396.2</v>
      </c>
    </row>
    <row r="34" spans="1:9" x14ac:dyDescent="0.25">
      <c r="A34" s="63" t="s">
        <v>143</v>
      </c>
      <c r="B34" s="63" t="s">
        <v>144</v>
      </c>
      <c r="C34" s="69">
        <v>43069</v>
      </c>
      <c r="D34" s="63" t="s">
        <v>524</v>
      </c>
      <c r="E34" s="63">
        <v>19</v>
      </c>
      <c r="F34" s="63" t="s">
        <v>142</v>
      </c>
      <c r="G34" s="63" t="s">
        <v>511</v>
      </c>
      <c r="H34" s="63">
        <v>69</v>
      </c>
      <c r="I34" s="63">
        <f t="shared" si="0"/>
        <v>1465.2</v>
      </c>
    </row>
    <row r="35" spans="1:9" x14ac:dyDescent="0.25">
      <c r="A35" s="63" t="s">
        <v>143</v>
      </c>
      <c r="B35" s="63" t="s">
        <v>144</v>
      </c>
      <c r="C35" s="69">
        <v>43069</v>
      </c>
      <c r="D35" s="63" t="s">
        <v>524</v>
      </c>
      <c r="E35" s="63">
        <v>19</v>
      </c>
      <c r="F35" s="63" t="s">
        <v>142</v>
      </c>
      <c r="G35" s="63" t="s">
        <v>512</v>
      </c>
      <c r="H35" s="63">
        <v>64</v>
      </c>
      <c r="I35" s="63">
        <f t="shared" si="0"/>
        <v>1529.2</v>
      </c>
    </row>
    <row r="36" spans="1:9" x14ac:dyDescent="0.25">
      <c r="A36" s="63" t="s">
        <v>143</v>
      </c>
      <c r="B36" s="63" t="s">
        <v>144</v>
      </c>
      <c r="C36" s="69">
        <v>43099</v>
      </c>
      <c r="D36" s="63" t="s">
        <v>524</v>
      </c>
      <c r="E36" s="63">
        <v>20</v>
      </c>
      <c r="F36" s="63" t="s">
        <v>142</v>
      </c>
      <c r="G36" s="63" t="s">
        <v>511</v>
      </c>
      <c r="H36" s="63">
        <v>69</v>
      </c>
      <c r="I36" s="63">
        <f t="shared" si="0"/>
        <v>1598.2</v>
      </c>
    </row>
    <row r="37" spans="1:9" x14ac:dyDescent="0.25">
      <c r="A37" s="63" t="s">
        <v>143</v>
      </c>
      <c r="B37" s="63" t="s">
        <v>144</v>
      </c>
      <c r="C37" s="124">
        <v>43099</v>
      </c>
      <c r="D37" s="63" t="s">
        <v>524</v>
      </c>
      <c r="E37" s="63">
        <v>20</v>
      </c>
      <c r="F37" s="63" t="s">
        <v>142</v>
      </c>
      <c r="G37" s="63" t="s">
        <v>512</v>
      </c>
      <c r="H37" s="63">
        <v>64</v>
      </c>
      <c r="I37" s="63">
        <f t="shared" si="0"/>
        <v>1662.2</v>
      </c>
    </row>
    <row r="38" spans="1:9" x14ac:dyDescent="0.25">
      <c r="A38" s="63" t="s">
        <v>143</v>
      </c>
      <c r="B38" s="63" t="s">
        <v>144</v>
      </c>
      <c r="C38" s="139" t="s">
        <v>525</v>
      </c>
      <c r="D38" s="139" t="s">
        <v>140</v>
      </c>
      <c r="E38" s="120">
        <f>I37</f>
        <v>1662.2</v>
      </c>
      <c r="H38" s="63">
        <v>0</v>
      </c>
    </row>
    <row r="39" spans="1:9" x14ac:dyDescent="0.25">
      <c r="A39" s="63" t="s">
        <v>580</v>
      </c>
      <c r="B39" s="63" t="s">
        <v>581</v>
      </c>
      <c r="C39" s="69">
        <v>42972</v>
      </c>
      <c r="D39" s="63" t="s">
        <v>524</v>
      </c>
      <c r="E39" s="61">
        <v>15</v>
      </c>
      <c r="F39" s="63" t="s">
        <v>142</v>
      </c>
      <c r="G39" s="63" t="s">
        <v>557</v>
      </c>
      <c r="H39" s="63">
        <v>0.06</v>
      </c>
      <c r="I39" s="63">
        <f>H39</f>
        <v>0.06</v>
      </c>
    </row>
    <row r="40" spans="1:9" x14ac:dyDescent="0.25">
      <c r="A40" s="63" t="s">
        <v>580</v>
      </c>
      <c r="B40" s="63" t="s">
        <v>581</v>
      </c>
      <c r="C40" s="69">
        <v>42972</v>
      </c>
      <c r="D40" s="63" t="s">
        <v>524</v>
      </c>
      <c r="E40" s="61">
        <v>15</v>
      </c>
      <c r="F40" s="63" t="s">
        <v>142</v>
      </c>
      <c r="G40" s="63" t="s">
        <v>558</v>
      </c>
      <c r="H40" s="63">
        <v>1.1000000000000001</v>
      </c>
      <c r="I40" s="63">
        <f>I39+H40</f>
        <v>1.1600000000000001</v>
      </c>
    </row>
    <row r="41" spans="1:9" x14ac:dyDescent="0.25">
      <c r="A41" s="63" t="s">
        <v>580</v>
      </c>
      <c r="B41" s="63" t="s">
        <v>581</v>
      </c>
      <c r="C41" s="139" t="s">
        <v>525</v>
      </c>
      <c r="D41" s="139" t="s">
        <v>140</v>
      </c>
      <c r="E41" s="120">
        <f>I40</f>
        <v>1.1600000000000001</v>
      </c>
    </row>
    <row r="42" spans="1:9" x14ac:dyDescent="0.25">
      <c r="A42" s="63" t="s">
        <v>141</v>
      </c>
      <c r="B42" s="63" t="s">
        <v>162</v>
      </c>
      <c r="C42" s="69" t="s">
        <v>579</v>
      </c>
      <c r="E42" s="63">
        <f>GC_TB_2016!H5</f>
        <v>0</v>
      </c>
    </row>
    <row r="43" spans="1:9" x14ac:dyDescent="0.25">
      <c r="A43" s="63" t="s">
        <v>141</v>
      </c>
      <c r="B43" s="63" t="s">
        <v>162</v>
      </c>
      <c r="C43" s="138">
        <v>42794</v>
      </c>
      <c r="D43" s="64" t="s">
        <v>564</v>
      </c>
      <c r="E43" s="64" t="s">
        <v>582</v>
      </c>
      <c r="F43" s="63" t="s">
        <v>562</v>
      </c>
      <c r="G43" s="64" t="s">
        <v>585</v>
      </c>
      <c r="H43" s="63">
        <v>6000</v>
      </c>
      <c r="I43" s="63">
        <f>H43+E42</f>
        <v>6000</v>
      </c>
    </row>
    <row r="44" spans="1:9" x14ac:dyDescent="0.25">
      <c r="A44" s="63" t="s">
        <v>141</v>
      </c>
      <c r="B44" s="63" t="s">
        <v>162</v>
      </c>
      <c r="C44" s="138">
        <v>42794</v>
      </c>
      <c r="D44" s="64" t="s">
        <v>564</v>
      </c>
      <c r="E44" s="64" t="s">
        <v>583</v>
      </c>
      <c r="F44" s="63" t="s">
        <v>562</v>
      </c>
      <c r="G44" s="64" t="s">
        <v>585</v>
      </c>
      <c r="H44" s="63">
        <v>6000</v>
      </c>
      <c r="I44" s="63">
        <f>I43+H44</f>
        <v>12000</v>
      </c>
    </row>
    <row r="45" spans="1:9" x14ac:dyDescent="0.25">
      <c r="A45" s="63" t="s">
        <v>141</v>
      </c>
      <c r="B45" s="63" t="s">
        <v>162</v>
      </c>
      <c r="C45" s="138">
        <v>42794</v>
      </c>
      <c r="D45" s="64" t="s">
        <v>564</v>
      </c>
      <c r="E45" s="64" t="s">
        <v>584</v>
      </c>
      <c r="F45" s="63" t="s">
        <v>562</v>
      </c>
      <c r="G45" s="64" t="s">
        <v>585</v>
      </c>
      <c r="H45" s="63">
        <v>6000</v>
      </c>
      <c r="I45" s="63">
        <f>I44+H45</f>
        <v>18000</v>
      </c>
    </row>
    <row r="46" spans="1:9" x14ac:dyDescent="0.25">
      <c r="A46" s="63" t="s">
        <v>141</v>
      </c>
      <c r="B46" s="63" t="s">
        <v>162</v>
      </c>
      <c r="C46" s="69">
        <v>42795</v>
      </c>
      <c r="D46" s="63" t="s">
        <v>528</v>
      </c>
      <c r="E46" s="63">
        <v>10</v>
      </c>
      <c r="F46" s="63" t="s">
        <v>142</v>
      </c>
      <c r="G46" s="63" t="s">
        <v>520</v>
      </c>
      <c r="H46" s="63">
        <v>-6000</v>
      </c>
      <c r="I46" s="63">
        <f t="shared" ref="I46:I48" si="1">I45+H46</f>
        <v>12000</v>
      </c>
    </row>
    <row r="47" spans="1:9" x14ac:dyDescent="0.25">
      <c r="A47" s="63" t="s">
        <v>141</v>
      </c>
      <c r="B47" s="63" t="s">
        <v>162</v>
      </c>
      <c r="C47" s="69">
        <v>42795</v>
      </c>
      <c r="D47" s="63" t="s">
        <v>528</v>
      </c>
      <c r="E47" s="63">
        <v>10</v>
      </c>
      <c r="F47" s="63" t="s">
        <v>142</v>
      </c>
      <c r="G47" s="63" t="s">
        <v>521</v>
      </c>
      <c r="H47" s="63">
        <v>-6000</v>
      </c>
      <c r="I47" s="63">
        <f t="shared" si="1"/>
        <v>6000</v>
      </c>
    </row>
    <row r="48" spans="1:9" x14ac:dyDescent="0.25">
      <c r="A48" s="63" t="s">
        <v>141</v>
      </c>
      <c r="B48" s="63" t="s">
        <v>162</v>
      </c>
      <c r="C48" s="69">
        <v>42796</v>
      </c>
      <c r="D48" s="63" t="s">
        <v>528</v>
      </c>
      <c r="E48" s="63">
        <v>10</v>
      </c>
      <c r="F48" s="63" t="s">
        <v>142</v>
      </c>
      <c r="G48" s="63" t="s">
        <v>522</v>
      </c>
      <c r="H48" s="63">
        <v>-6000</v>
      </c>
      <c r="I48" s="63">
        <f t="shared" si="1"/>
        <v>0</v>
      </c>
    </row>
    <row r="49" spans="1:9" x14ac:dyDescent="0.25">
      <c r="A49" s="63" t="s">
        <v>141</v>
      </c>
      <c r="B49" s="63" t="s">
        <v>162</v>
      </c>
      <c r="C49" s="139" t="s">
        <v>525</v>
      </c>
      <c r="D49" s="139" t="s">
        <v>140</v>
      </c>
      <c r="E49" s="120">
        <f>I48</f>
        <v>0</v>
      </c>
    </row>
    <row r="50" spans="1:9" x14ac:dyDescent="0.25">
      <c r="A50" s="63" t="s">
        <v>142</v>
      </c>
      <c r="B50" s="63" t="s">
        <v>527</v>
      </c>
      <c r="C50" s="69" t="s">
        <v>579</v>
      </c>
      <c r="E50" s="63">
        <f>GC_TB_2016!H6</f>
        <v>12001.19</v>
      </c>
    </row>
    <row r="51" spans="1:9" x14ac:dyDescent="0.25">
      <c r="A51" s="63" t="s">
        <v>142</v>
      </c>
      <c r="B51" s="63" t="s">
        <v>527</v>
      </c>
      <c r="C51" s="69">
        <v>42755</v>
      </c>
      <c r="D51" s="63" t="s">
        <v>528</v>
      </c>
      <c r="E51" s="63">
        <v>8</v>
      </c>
      <c r="F51" s="63" t="s">
        <v>164</v>
      </c>
      <c r="G51" s="63" t="s">
        <v>508</v>
      </c>
      <c r="H51" s="63">
        <v>500</v>
      </c>
      <c r="I51" s="63">
        <f>E50+H51</f>
        <v>12501.19</v>
      </c>
    </row>
    <row r="52" spans="1:9" x14ac:dyDescent="0.25">
      <c r="A52" s="63" t="s">
        <v>142</v>
      </c>
      <c r="B52" s="63" t="s">
        <v>527</v>
      </c>
      <c r="C52" s="69">
        <v>42766</v>
      </c>
      <c r="D52" s="63" t="s">
        <v>524</v>
      </c>
      <c r="E52" s="63">
        <v>9</v>
      </c>
      <c r="F52" s="63" t="s">
        <v>143</v>
      </c>
      <c r="G52" s="63" t="s">
        <v>511</v>
      </c>
      <c r="H52" s="63">
        <v>-69</v>
      </c>
      <c r="I52" s="63">
        <f>I51+H52</f>
        <v>12432.19</v>
      </c>
    </row>
    <row r="53" spans="1:9" x14ac:dyDescent="0.25">
      <c r="A53" s="63" t="s">
        <v>142</v>
      </c>
      <c r="B53" s="63" t="s">
        <v>527</v>
      </c>
      <c r="C53" s="69">
        <v>42766</v>
      </c>
      <c r="D53" s="63" t="s">
        <v>524</v>
      </c>
      <c r="E53" s="63">
        <v>9</v>
      </c>
      <c r="F53" s="63" t="s">
        <v>143</v>
      </c>
      <c r="G53" s="63" t="s">
        <v>512</v>
      </c>
      <c r="H53" s="63">
        <v>-64</v>
      </c>
      <c r="I53" s="63">
        <f t="shared" ref="I53:I89" si="2">I52+H53</f>
        <v>12368.19</v>
      </c>
    </row>
    <row r="54" spans="1:9" x14ac:dyDescent="0.25">
      <c r="A54" s="63" t="s">
        <v>142</v>
      </c>
      <c r="B54" s="63" t="s">
        <v>527</v>
      </c>
      <c r="C54" s="69">
        <v>42794</v>
      </c>
      <c r="D54" s="63" t="s">
        <v>524</v>
      </c>
      <c r="E54" s="63">
        <v>10</v>
      </c>
      <c r="F54" s="63" t="s">
        <v>143</v>
      </c>
      <c r="G54" s="63" t="s">
        <v>511</v>
      </c>
      <c r="H54" s="63">
        <v>-69</v>
      </c>
      <c r="I54" s="63">
        <f t="shared" si="2"/>
        <v>12299.19</v>
      </c>
    </row>
    <row r="55" spans="1:9" x14ac:dyDescent="0.25">
      <c r="A55" s="63" t="s">
        <v>142</v>
      </c>
      <c r="B55" s="63" t="s">
        <v>527</v>
      </c>
      <c r="C55" s="69">
        <v>42794</v>
      </c>
      <c r="D55" s="63" t="s">
        <v>524</v>
      </c>
      <c r="E55" s="63">
        <v>10</v>
      </c>
      <c r="F55" s="63" t="s">
        <v>143</v>
      </c>
      <c r="G55" s="63" t="s">
        <v>512</v>
      </c>
      <c r="H55" s="63">
        <v>-64</v>
      </c>
      <c r="I55" s="63">
        <f t="shared" si="2"/>
        <v>12235.19</v>
      </c>
    </row>
    <row r="56" spans="1:9" x14ac:dyDescent="0.25">
      <c r="A56" s="63" t="s">
        <v>142</v>
      </c>
      <c r="B56" s="63" t="s">
        <v>527</v>
      </c>
      <c r="C56" s="69">
        <v>42795</v>
      </c>
      <c r="D56" s="63" t="s">
        <v>524</v>
      </c>
      <c r="E56" s="63">
        <v>10</v>
      </c>
      <c r="F56" s="63" t="s">
        <v>143</v>
      </c>
      <c r="G56" s="63" t="s">
        <v>517</v>
      </c>
      <c r="H56" s="63">
        <v>-1.1000000000000001</v>
      </c>
      <c r="I56" s="63">
        <f t="shared" si="2"/>
        <v>12234.09</v>
      </c>
    </row>
    <row r="57" spans="1:9" x14ac:dyDescent="0.25">
      <c r="A57" s="63" t="s">
        <v>142</v>
      </c>
      <c r="B57" s="63" t="s">
        <v>527</v>
      </c>
      <c r="C57" s="69">
        <v>42795</v>
      </c>
      <c r="D57" s="63" t="s">
        <v>528</v>
      </c>
      <c r="E57" s="63">
        <v>10</v>
      </c>
      <c r="F57" s="63" t="s">
        <v>141</v>
      </c>
      <c r="G57" s="63" t="s">
        <v>520</v>
      </c>
      <c r="H57" s="63">
        <v>6000</v>
      </c>
      <c r="I57" s="63">
        <f t="shared" si="2"/>
        <v>18234.09</v>
      </c>
    </row>
    <row r="58" spans="1:9" x14ac:dyDescent="0.25">
      <c r="A58" s="63" t="s">
        <v>142</v>
      </c>
      <c r="B58" s="63" t="s">
        <v>527</v>
      </c>
      <c r="C58" s="69">
        <v>42795</v>
      </c>
      <c r="D58" s="63" t="s">
        <v>528</v>
      </c>
      <c r="E58" s="63">
        <v>10</v>
      </c>
      <c r="F58" s="63" t="s">
        <v>141</v>
      </c>
      <c r="G58" s="63" t="s">
        <v>521</v>
      </c>
      <c r="H58" s="63">
        <v>6000</v>
      </c>
      <c r="I58" s="63">
        <f t="shared" si="2"/>
        <v>24234.09</v>
      </c>
    </row>
    <row r="59" spans="1:9" x14ac:dyDescent="0.25">
      <c r="A59" s="63" t="s">
        <v>142</v>
      </c>
      <c r="B59" s="63" t="s">
        <v>527</v>
      </c>
      <c r="C59" s="69">
        <v>42795</v>
      </c>
      <c r="D59" s="63" t="s">
        <v>524</v>
      </c>
      <c r="E59" s="63">
        <v>10</v>
      </c>
      <c r="F59" s="63" t="s">
        <v>164</v>
      </c>
      <c r="G59" s="63" t="s">
        <v>516</v>
      </c>
      <c r="H59" s="63">
        <v>-12082.24</v>
      </c>
      <c r="I59" s="63">
        <f t="shared" si="2"/>
        <v>12151.85</v>
      </c>
    </row>
    <row r="60" spans="1:9" x14ac:dyDescent="0.25">
      <c r="A60" s="63" t="s">
        <v>142</v>
      </c>
      <c r="B60" s="63" t="s">
        <v>527</v>
      </c>
      <c r="C60" s="69">
        <v>42796</v>
      </c>
      <c r="D60" s="63" t="s">
        <v>528</v>
      </c>
      <c r="E60" s="63">
        <v>10</v>
      </c>
      <c r="F60" s="63" t="s">
        <v>141</v>
      </c>
      <c r="G60" s="63" t="s">
        <v>522</v>
      </c>
      <c r="H60" s="63">
        <v>6000</v>
      </c>
      <c r="I60" s="63">
        <f t="shared" si="2"/>
        <v>18151.849999999999</v>
      </c>
    </row>
    <row r="61" spans="1:9" x14ac:dyDescent="0.25">
      <c r="A61" s="63" t="s">
        <v>142</v>
      </c>
      <c r="B61" s="63" t="s">
        <v>527</v>
      </c>
      <c r="C61" s="69">
        <v>42797</v>
      </c>
      <c r="D61" s="63" t="s">
        <v>524</v>
      </c>
      <c r="E61" s="63">
        <v>10</v>
      </c>
      <c r="F61" s="63" t="s">
        <v>143</v>
      </c>
      <c r="G61" s="63" t="s">
        <v>517</v>
      </c>
      <c r="H61" s="63">
        <v>-1.1000000000000001</v>
      </c>
      <c r="I61" s="63">
        <f t="shared" si="2"/>
        <v>18150.75</v>
      </c>
    </row>
    <row r="62" spans="1:9" x14ac:dyDescent="0.25">
      <c r="A62" s="63" t="s">
        <v>142</v>
      </c>
      <c r="B62" s="63" t="s">
        <v>527</v>
      </c>
      <c r="C62" s="69">
        <v>42797</v>
      </c>
      <c r="D62" s="63" t="s">
        <v>524</v>
      </c>
      <c r="E62" s="63">
        <v>10</v>
      </c>
      <c r="F62" s="63" t="s">
        <v>164</v>
      </c>
      <c r="G62" s="63" t="s">
        <v>516</v>
      </c>
      <c r="H62" s="63">
        <v>-18000</v>
      </c>
      <c r="I62" s="63">
        <f t="shared" si="2"/>
        <v>150.75</v>
      </c>
    </row>
    <row r="63" spans="1:9" x14ac:dyDescent="0.25">
      <c r="A63" s="63" t="s">
        <v>142</v>
      </c>
      <c r="B63" s="63" t="s">
        <v>527</v>
      </c>
      <c r="C63" s="69">
        <v>42814</v>
      </c>
      <c r="D63" s="63" t="s">
        <v>528</v>
      </c>
      <c r="E63" s="64">
        <v>10</v>
      </c>
      <c r="F63" s="63" t="s">
        <v>164</v>
      </c>
      <c r="G63" s="64" t="s">
        <v>508</v>
      </c>
      <c r="H63" s="63">
        <v>200</v>
      </c>
      <c r="I63" s="63">
        <f t="shared" si="2"/>
        <v>350.75</v>
      </c>
    </row>
    <row r="64" spans="1:9" x14ac:dyDescent="0.25">
      <c r="A64" s="63" t="s">
        <v>142</v>
      </c>
      <c r="B64" s="63" t="s">
        <v>527</v>
      </c>
      <c r="C64" s="69">
        <v>42825</v>
      </c>
      <c r="D64" s="63" t="s">
        <v>524</v>
      </c>
      <c r="E64" s="63">
        <v>11</v>
      </c>
      <c r="F64" s="63" t="s">
        <v>143</v>
      </c>
      <c r="G64" s="63" t="s">
        <v>511</v>
      </c>
      <c r="H64" s="63">
        <v>-69</v>
      </c>
      <c r="I64" s="63">
        <f t="shared" si="2"/>
        <v>281.75</v>
      </c>
    </row>
    <row r="65" spans="1:9" x14ac:dyDescent="0.25">
      <c r="A65" s="63" t="s">
        <v>142</v>
      </c>
      <c r="B65" s="63" t="s">
        <v>527</v>
      </c>
      <c r="C65" s="69">
        <v>42825</v>
      </c>
      <c r="D65" s="63" t="s">
        <v>524</v>
      </c>
      <c r="E65" s="63">
        <v>11</v>
      </c>
      <c r="F65" s="63" t="s">
        <v>143</v>
      </c>
      <c r="G65" s="63" t="s">
        <v>512</v>
      </c>
      <c r="H65" s="63">
        <v>-64</v>
      </c>
      <c r="I65" s="63">
        <f t="shared" si="2"/>
        <v>217.75</v>
      </c>
    </row>
    <row r="66" spans="1:9" x14ac:dyDescent="0.25">
      <c r="A66" s="63" t="s">
        <v>142</v>
      </c>
      <c r="B66" s="63" t="s">
        <v>527</v>
      </c>
      <c r="C66" s="69">
        <v>42854</v>
      </c>
      <c r="D66" s="63" t="s">
        <v>524</v>
      </c>
      <c r="E66" s="63">
        <v>12</v>
      </c>
      <c r="F66" s="63" t="s">
        <v>143</v>
      </c>
      <c r="G66" s="63" t="s">
        <v>511</v>
      </c>
      <c r="H66" s="63">
        <v>-69</v>
      </c>
      <c r="I66" s="63">
        <f t="shared" si="2"/>
        <v>148.75</v>
      </c>
    </row>
    <row r="67" spans="1:9" x14ac:dyDescent="0.25">
      <c r="A67" s="63" t="s">
        <v>142</v>
      </c>
      <c r="B67" s="63" t="s">
        <v>527</v>
      </c>
      <c r="C67" s="69">
        <v>42854</v>
      </c>
      <c r="D67" s="63" t="s">
        <v>524</v>
      </c>
      <c r="E67" s="63">
        <v>12</v>
      </c>
      <c r="F67" s="63" t="s">
        <v>143</v>
      </c>
      <c r="G67" s="63" t="s">
        <v>512</v>
      </c>
      <c r="H67" s="63">
        <v>-64</v>
      </c>
      <c r="I67" s="63">
        <f t="shared" si="2"/>
        <v>84.75</v>
      </c>
    </row>
    <row r="68" spans="1:9" x14ac:dyDescent="0.25">
      <c r="A68" s="63" t="s">
        <v>142</v>
      </c>
      <c r="B68" s="63" t="s">
        <v>527</v>
      </c>
      <c r="C68" s="69">
        <v>42866</v>
      </c>
      <c r="D68" s="63" t="s">
        <v>528</v>
      </c>
      <c r="E68" s="63">
        <v>12</v>
      </c>
      <c r="F68" s="63" t="s">
        <v>164</v>
      </c>
      <c r="G68" s="63" t="s">
        <v>508</v>
      </c>
      <c r="H68" s="63">
        <v>200</v>
      </c>
      <c r="I68" s="63">
        <f t="shared" si="2"/>
        <v>284.75</v>
      </c>
    </row>
    <row r="69" spans="1:9" x14ac:dyDescent="0.25">
      <c r="A69" s="63" t="s">
        <v>142</v>
      </c>
      <c r="B69" s="63" t="s">
        <v>527</v>
      </c>
      <c r="C69" s="69">
        <v>42886</v>
      </c>
      <c r="D69" s="63" t="s">
        <v>524</v>
      </c>
      <c r="E69" s="63">
        <v>13</v>
      </c>
      <c r="F69" s="63" t="s">
        <v>143</v>
      </c>
      <c r="G69" s="63" t="s">
        <v>511</v>
      </c>
      <c r="H69" s="63">
        <v>-69</v>
      </c>
      <c r="I69" s="63">
        <f t="shared" si="2"/>
        <v>215.75</v>
      </c>
    </row>
    <row r="70" spans="1:9" x14ac:dyDescent="0.25">
      <c r="A70" s="63" t="s">
        <v>142</v>
      </c>
      <c r="B70" s="63" t="s">
        <v>527</v>
      </c>
      <c r="C70" s="69">
        <v>42886</v>
      </c>
      <c r="D70" s="63" t="s">
        <v>524</v>
      </c>
      <c r="E70" s="63">
        <v>13</v>
      </c>
      <c r="F70" s="63" t="s">
        <v>143</v>
      </c>
      <c r="G70" s="63" t="s">
        <v>512</v>
      </c>
      <c r="H70" s="63">
        <v>-64</v>
      </c>
      <c r="I70" s="63">
        <f t="shared" si="2"/>
        <v>151.75</v>
      </c>
    </row>
    <row r="71" spans="1:9" x14ac:dyDescent="0.25">
      <c r="A71" s="63" t="s">
        <v>142</v>
      </c>
      <c r="B71" s="63" t="s">
        <v>527</v>
      </c>
      <c r="C71" s="69">
        <v>42916</v>
      </c>
      <c r="D71" s="63" t="s">
        <v>524</v>
      </c>
      <c r="E71" s="63">
        <v>14</v>
      </c>
      <c r="F71" s="63" t="s">
        <v>143</v>
      </c>
      <c r="G71" s="63" t="s">
        <v>511</v>
      </c>
      <c r="H71" s="63">
        <v>-69</v>
      </c>
      <c r="I71" s="63">
        <f t="shared" si="2"/>
        <v>82.75</v>
      </c>
    </row>
    <row r="72" spans="1:9" x14ac:dyDescent="0.25">
      <c r="A72" s="63" t="s">
        <v>142</v>
      </c>
      <c r="B72" s="63" t="s">
        <v>527</v>
      </c>
      <c r="C72" s="69">
        <v>42916</v>
      </c>
      <c r="D72" s="63" t="s">
        <v>524</v>
      </c>
      <c r="E72" s="63">
        <v>14</v>
      </c>
      <c r="F72" s="63" t="s">
        <v>143</v>
      </c>
      <c r="G72" s="63" t="s">
        <v>512</v>
      </c>
      <c r="H72" s="63">
        <v>-64</v>
      </c>
      <c r="I72" s="63">
        <f t="shared" si="2"/>
        <v>18.75</v>
      </c>
    </row>
    <row r="73" spans="1:9" x14ac:dyDescent="0.25">
      <c r="A73" s="63" t="s">
        <v>142</v>
      </c>
      <c r="B73" s="63" t="s">
        <v>527</v>
      </c>
      <c r="C73" s="69">
        <v>42947</v>
      </c>
      <c r="D73" s="63" t="s">
        <v>524</v>
      </c>
      <c r="E73" s="63">
        <v>15</v>
      </c>
      <c r="F73" s="63" t="s">
        <v>143</v>
      </c>
      <c r="G73" s="63" t="s">
        <v>511</v>
      </c>
      <c r="H73" s="63">
        <v>-69</v>
      </c>
      <c r="I73" s="63">
        <f t="shared" si="2"/>
        <v>-50.25</v>
      </c>
    </row>
    <row r="74" spans="1:9" x14ac:dyDescent="0.25">
      <c r="A74" s="63" t="s">
        <v>142</v>
      </c>
      <c r="B74" s="63" t="s">
        <v>527</v>
      </c>
      <c r="C74" s="69">
        <v>42947</v>
      </c>
      <c r="D74" s="63" t="s">
        <v>524</v>
      </c>
      <c r="E74" s="63">
        <v>15</v>
      </c>
      <c r="F74" s="63" t="s">
        <v>143</v>
      </c>
      <c r="G74" s="63" t="s">
        <v>512</v>
      </c>
      <c r="H74" s="63">
        <v>-64</v>
      </c>
      <c r="I74" s="63">
        <f t="shared" si="2"/>
        <v>-114.25</v>
      </c>
    </row>
    <row r="75" spans="1:9" x14ac:dyDescent="0.25">
      <c r="A75" s="63" t="s">
        <v>142</v>
      </c>
      <c r="B75" s="63" t="s">
        <v>527</v>
      </c>
      <c r="C75" s="69">
        <v>42965</v>
      </c>
      <c r="D75" s="63" t="s">
        <v>528</v>
      </c>
      <c r="E75" s="63">
        <v>15</v>
      </c>
      <c r="F75" s="63" t="s">
        <v>164</v>
      </c>
      <c r="G75" s="63" t="s">
        <v>508</v>
      </c>
      <c r="H75" s="63">
        <v>250</v>
      </c>
      <c r="I75" s="63">
        <f t="shared" si="2"/>
        <v>135.75</v>
      </c>
    </row>
    <row r="76" spans="1:9" x14ac:dyDescent="0.25">
      <c r="A76" s="63" t="s">
        <v>142</v>
      </c>
      <c r="B76" s="63" t="s">
        <v>527</v>
      </c>
      <c r="C76" s="69">
        <v>42970</v>
      </c>
      <c r="D76" s="63" t="s">
        <v>528</v>
      </c>
      <c r="E76" s="63">
        <v>15</v>
      </c>
      <c r="F76" s="63" t="s">
        <v>164</v>
      </c>
      <c r="G76" s="63" t="s">
        <v>508</v>
      </c>
      <c r="H76" s="63">
        <v>1000</v>
      </c>
      <c r="I76" s="63">
        <f t="shared" si="2"/>
        <v>1135.75</v>
      </c>
    </row>
    <row r="77" spans="1:9" x14ac:dyDescent="0.25">
      <c r="A77" s="63" t="s">
        <v>142</v>
      </c>
      <c r="B77" s="63" t="s">
        <v>527</v>
      </c>
      <c r="C77" s="69">
        <v>42972</v>
      </c>
      <c r="D77" s="63" t="s">
        <v>524</v>
      </c>
      <c r="E77" s="61">
        <v>15</v>
      </c>
      <c r="F77" s="63" t="s">
        <v>580</v>
      </c>
      <c r="G77" s="63" t="s">
        <v>557</v>
      </c>
      <c r="H77" s="63">
        <v>-0.06</v>
      </c>
      <c r="I77" s="63">
        <f t="shared" si="2"/>
        <v>1135.69</v>
      </c>
    </row>
    <row r="78" spans="1:9" x14ac:dyDescent="0.25">
      <c r="A78" s="63" t="s">
        <v>142</v>
      </c>
      <c r="B78" s="63" t="s">
        <v>527</v>
      </c>
      <c r="C78" s="69">
        <v>42972</v>
      </c>
      <c r="D78" s="63" t="s">
        <v>524</v>
      </c>
      <c r="E78" s="61">
        <v>15</v>
      </c>
      <c r="F78" s="63" t="s">
        <v>580</v>
      </c>
      <c r="G78" s="63" t="s">
        <v>558</v>
      </c>
      <c r="H78" s="63">
        <v>-1.1000000000000001</v>
      </c>
      <c r="I78" s="63">
        <f t="shared" si="2"/>
        <v>1134.5900000000001</v>
      </c>
    </row>
    <row r="79" spans="1:9" x14ac:dyDescent="0.25">
      <c r="A79" s="63" t="s">
        <v>142</v>
      </c>
      <c r="B79" s="63" t="s">
        <v>527</v>
      </c>
      <c r="C79" s="69">
        <v>42978</v>
      </c>
      <c r="D79" s="63" t="s">
        <v>524</v>
      </c>
      <c r="E79" s="63">
        <v>16</v>
      </c>
      <c r="F79" s="63" t="s">
        <v>143</v>
      </c>
      <c r="G79" s="63" t="s">
        <v>511</v>
      </c>
      <c r="H79" s="63">
        <v>-69</v>
      </c>
      <c r="I79" s="63">
        <f t="shared" si="2"/>
        <v>1065.5900000000001</v>
      </c>
    </row>
    <row r="80" spans="1:9" x14ac:dyDescent="0.25">
      <c r="A80" s="63" t="s">
        <v>142</v>
      </c>
      <c r="B80" s="63" t="s">
        <v>527</v>
      </c>
      <c r="C80" s="69">
        <v>42999</v>
      </c>
      <c r="D80" s="63" t="s">
        <v>524</v>
      </c>
      <c r="E80" s="63">
        <v>16</v>
      </c>
      <c r="F80" s="63" t="s">
        <v>143</v>
      </c>
      <c r="G80" s="63" t="s">
        <v>559</v>
      </c>
      <c r="H80" s="63">
        <v>-64</v>
      </c>
      <c r="I80" s="63">
        <f t="shared" si="2"/>
        <v>1001.5900000000001</v>
      </c>
    </row>
    <row r="81" spans="1:9" x14ac:dyDescent="0.25">
      <c r="A81" s="63" t="s">
        <v>142</v>
      </c>
      <c r="B81" s="63" t="s">
        <v>527</v>
      </c>
      <c r="C81" s="69">
        <v>42999</v>
      </c>
      <c r="D81" s="63" t="s">
        <v>524</v>
      </c>
      <c r="E81" s="63">
        <v>16</v>
      </c>
      <c r="F81" s="63" t="s">
        <v>143</v>
      </c>
      <c r="G81" s="63" t="s">
        <v>560</v>
      </c>
      <c r="H81" s="63">
        <v>-64</v>
      </c>
      <c r="I81" s="63">
        <f t="shared" si="2"/>
        <v>937.59000000000015</v>
      </c>
    </row>
    <row r="82" spans="1:9" x14ac:dyDescent="0.25">
      <c r="A82" s="63" t="s">
        <v>142</v>
      </c>
      <c r="B82" s="63" t="s">
        <v>527</v>
      </c>
      <c r="C82" s="69">
        <v>43008</v>
      </c>
      <c r="D82" s="63" t="s">
        <v>524</v>
      </c>
      <c r="E82" s="63">
        <v>17</v>
      </c>
      <c r="F82" s="63" t="s">
        <v>143</v>
      </c>
      <c r="G82" s="63" t="s">
        <v>511</v>
      </c>
      <c r="H82" s="63">
        <v>-69</v>
      </c>
      <c r="I82" s="63">
        <f t="shared" si="2"/>
        <v>868.59000000000015</v>
      </c>
    </row>
    <row r="83" spans="1:9" x14ac:dyDescent="0.25">
      <c r="A83" s="63" t="s">
        <v>142</v>
      </c>
      <c r="B83" s="63" t="s">
        <v>527</v>
      </c>
      <c r="C83" s="69">
        <v>43008</v>
      </c>
      <c r="D83" s="63" t="s">
        <v>524</v>
      </c>
      <c r="E83" s="63">
        <v>17</v>
      </c>
      <c r="F83" s="63" t="s">
        <v>143</v>
      </c>
      <c r="G83" s="63" t="s">
        <v>512</v>
      </c>
      <c r="H83" s="63">
        <v>-64</v>
      </c>
      <c r="I83" s="63">
        <f t="shared" si="2"/>
        <v>804.59000000000015</v>
      </c>
    </row>
    <row r="84" spans="1:9" x14ac:dyDescent="0.25">
      <c r="A84" s="63" t="s">
        <v>142</v>
      </c>
      <c r="B84" s="63" t="s">
        <v>527</v>
      </c>
      <c r="C84" s="69">
        <v>43039</v>
      </c>
      <c r="D84" s="63" t="s">
        <v>524</v>
      </c>
      <c r="E84" s="63">
        <v>18</v>
      </c>
      <c r="F84" s="63" t="s">
        <v>143</v>
      </c>
      <c r="G84" s="63" t="s">
        <v>511</v>
      </c>
      <c r="H84" s="63">
        <v>-69</v>
      </c>
      <c r="I84" s="63">
        <f t="shared" si="2"/>
        <v>735.59000000000015</v>
      </c>
    </row>
    <row r="85" spans="1:9" x14ac:dyDescent="0.25">
      <c r="A85" s="63" t="s">
        <v>142</v>
      </c>
      <c r="B85" s="63" t="s">
        <v>527</v>
      </c>
      <c r="C85" s="69">
        <v>43039</v>
      </c>
      <c r="D85" s="63" t="s">
        <v>524</v>
      </c>
      <c r="E85" s="63">
        <v>18</v>
      </c>
      <c r="F85" s="63" t="s">
        <v>143</v>
      </c>
      <c r="G85" s="63" t="s">
        <v>512</v>
      </c>
      <c r="H85" s="63">
        <v>-64</v>
      </c>
      <c r="I85" s="63">
        <f t="shared" si="2"/>
        <v>671.59000000000015</v>
      </c>
    </row>
    <row r="86" spans="1:9" x14ac:dyDescent="0.25">
      <c r="A86" s="63" t="s">
        <v>142</v>
      </c>
      <c r="B86" s="63" t="s">
        <v>527</v>
      </c>
      <c r="C86" s="69">
        <v>43069</v>
      </c>
      <c r="D86" s="63" t="s">
        <v>524</v>
      </c>
      <c r="E86" s="63">
        <v>19</v>
      </c>
      <c r="F86" s="63" t="s">
        <v>143</v>
      </c>
      <c r="G86" s="63" t="s">
        <v>511</v>
      </c>
      <c r="H86" s="63">
        <v>-69</v>
      </c>
      <c r="I86" s="63">
        <f t="shared" si="2"/>
        <v>602.59000000000015</v>
      </c>
    </row>
    <row r="87" spans="1:9" x14ac:dyDescent="0.25">
      <c r="A87" s="63" t="s">
        <v>142</v>
      </c>
      <c r="B87" s="63" t="s">
        <v>527</v>
      </c>
      <c r="C87" s="69">
        <v>43069</v>
      </c>
      <c r="D87" s="63" t="s">
        <v>524</v>
      </c>
      <c r="E87" s="63">
        <v>19</v>
      </c>
      <c r="F87" s="63" t="s">
        <v>143</v>
      </c>
      <c r="G87" s="63" t="s">
        <v>512</v>
      </c>
      <c r="H87" s="63">
        <v>-64</v>
      </c>
      <c r="I87" s="63">
        <f t="shared" si="2"/>
        <v>538.59000000000015</v>
      </c>
    </row>
    <row r="88" spans="1:9" x14ac:dyDescent="0.25">
      <c r="A88" s="63" t="s">
        <v>142</v>
      </c>
      <c r="B88" s="63" t="s">
        <v>527</v>
      </c>
      <c r="C88" s="69">
        <v>43099</v>
      </c>
      <c r="D88" s="63" t="s">
        <v>524</v>
      </c>
      <c r="E88" s="63">
        <v>20</v>
      </c>
      <c r="F88" s="63" t="s">
        <v>143</v>
      </c>
      <c r="G88" s="63" t="s">
        <v>511</v>
      </c>
      <c r="H88" s="63">
        <v>-69</v>
      </c>
      <c r="I88" s="63">
        <f t="shared" si="2"/>
        <v>469.59000000000015</v>
      </c>
    </row>
    <row r="89" spans="1:9" x14ac:dyDescent="0.25">
      <c r="A89" s="63" t="s">
        <v>142</v>
      </c>
      <c r="B89" s="63" t="s">
        <v>527</v>
      </c>
      <c r="C89" s="124">
        <v>43099</v>
      </c>
      <c r="D89" s="63" t="s">
        <v>524</v>
      </c>
      <c r="E89" s="63">
        <v>20</v>
      </c>
      <c r="F89" s="63" t="s">
        <v>143</v>
      </c>
      <c r="G89" s="63" t="s">
        <v>512</v>
      </c>
      <c r="H89" s="63">
        <v>-64</v>
      </c>
      <c r="I89" s="63">
        <f t="shared" si="2"/>
        <v>405.59000000000015</v>
      </c>
    </row>
    <row r="90" spans="1:9" x14ac:dyDescent="0.25">
      <c r="A90" s="63" t="s">
        <v>142</v>
      </c>
      <c r="B90" s="63" t="s">
        <v>527</v>
      </c>
      <c r="C90" s="139" t="s">
        <v>525</v>
      </c>
      <c r="D90" s="139" t="s">
        <v>140</v>
      </c>
      <c r="E90" s="120">
        <f>I89</f>
        <v>405.59000000000015</v>
      </c>
    </row>
    <row r="91" spans="1:9" x14ac:dyDescent="0.25">
      <c r="A91" s="63" t="s">
        <v>164</v>
      </c>
      <c r="B91" s="63" t="s">
        <v>526</v>
      </c>
      <c r="C91" s="69" t="s">
        <v>579</v>
      </c>
      <c r="E91" s="63">
        <f>GC_TB_2016!H7</f>
        <v>-12842.240000000002</v>
      </c>
      <c r="F91" s="63" t="s">
        <v>142</v>
      </c>
    </row>
    <row r="92" spans="1:9" x14ac:dyDescent="0.25">
      <c r="A92" s="63" t="s">
        <v>164</v>
      </c>
      <c r="B92" s="63" t="s">
        <v>526</v>
      </c>
      <c r="C92" s="69">
        <v>42794</v>
      </c>
      <c r="D92" s="64" t="s">
        <v>571</v>
      </c>
      <c r="E92" s="64" t="s">
        <v>586</v>
      </c>
      <c r="F92" s="63" t="s">
        <v>569</v>
      </c>
      <c r="G92" s="64" t="s">
        <v>587</v>
      </c>
      <c r="H92" s="63">
        <v>-18000</v>
      </c>
      <c r="I92" s="63">
        <f>E91+H92</f>
        <v>-30842.240000000002</v>
      </c>
    </row>
    <row r="93" spans="1:9" x14ac:dyDescent="0.25">
      <c r="A93" s="63" t="s">
        <v>164</v>
      </c>
      <c r="B93" s="63" t="s">
        <v>526</v>
      </c>
      <c r="C93" s="69">
        <v>42795</v>
      </c>
      <c r="D93" s="63" t="s">
        <v>524</v>
      </c>
      <c r="E93" s="63">
        <v>10</v>
      </c>
      <c r="F93" s="63" t="s">
        <v>142</v>
      </c>
      <c r="G93" s="63" t="s">
        <v>516</v>
      </c>
      <c r="H93" s="63">
        <v>12082.24</v>
      </c>
      <c r="I93" s="63">
        <f>H93+I92</f>
        <v>-18760</v>
      </c>
    </row>
    <row r="94" spans="1:9" x14ac:dyDescent="0.25">
      <c r="A94" s="63" t="s">
        <v>164</v>
      </c>
      <c r="B94" s="63" t="s">
        <v>526</v>
      </c>
      <c r="C94" s="69">
        <v>42797</v>
      </c>
      <c r="D94" s="63" t="s">
        <v>524</v>
      </c>
      <c r="E94" s="63">
        <v>10</v>
      </c>
      <c r="F94" s="63" t="s">
        <v>142</v>
      </c>
      <c r="G94" s="63" t="s">
        <v>516</v>
      </c>
      <c r="H94" s="63">
        <v>18000</v>
      </c>
      <c r="I94" s="63">
        <f t="shared" ref="I94:I99" si="3">I93+H94</f>
        <v>-760</v>
      </c>
    </row>
    <row r="95" spans="1:9" x14ac:dyDescent="0.25">
      <c r="A95" s="63" t="s">
        <v>164</v>
      </c>
      <c r="B95" s="63" t="s">
        <v>526</v>
      </c>
      <c r="C95" s="69">
        <v>42755</v>
      </c>
      <c r="D95" s="63" t="s">
        <v>528</v>
      </c>
      <c r="E95" s="63">
        <v>8</v>
      </c>
      <c r="F95" s="63" t="s">
        <v>142</v>
      </c>
      <c r="G95" s="63" t="s">
        <v>508</v>
      </c>
      <c r="H95" s="63">
        <v>-500</v>
      </c>
      <c r="I95" s="63">
        <f t="shared" si="3"/>
        <v>-1260</v>
      </c>
    </row>
    <row r="96" spans="1:9" x14ac:dyDescent="0.25">
      <c r="A96" s="63" t="s">
        <v>164</v>
      </c>
      <c r="B96" s="63" t="s">
        <v>526</v>
      </c>
      <c r="C96" s="69">
        <v>42814</v>
      </c>
      <c r="D96" s="63" t="s">
        <v>528</v>
      </c>
      <c r="E96" s="64">
        <v>10</v>
      </c>
      <c r="F96" s="63" t="s">
        <v>142</v>
      </c>
      <c r="G96" s="64" t="s">
        <v>508</v>
      </c>
      <c r="H96" s="63">
        <v>-200</v>
      </c>
      <c r="I96" s="63">
        <f t="shared" si="3"/>
        <v>-1460</v>
      </c>
    </row>
    <row r="97" spans="1:9" x14ac:dyDescent="0.25">
      <c r="A97" s="63" t="s">
        <v>164</v>
      </c>
      <c r="B97" s="63" t="s">
        <v>526</v>
      </c>
      <c r="C97" s="69">
        <v>42866</v>
      </c>
      <c r="D97" s="63" t="s">
        <v>528</v>
      </c>
      <c r="E97" s="63">
        <v>12</v>
      </c>
      <c r="F97" s="63" t="s">
        <v>142</v>
      </c>
      <c r="G97" s="63" t="s">
        <v>508</v>
      </c>
      <c r="H97" s="63">
        <v>-200</v>
      </c>
      <c r="I97" s="63">
        <f t="shared" si="3"/>
        <v>-1660</v>
      </c>
    </row>
    <row r="98" spans="1:9" x14ac:dyDescent="0.25">
      <c r="A98" s="63" t="s">
        <v>164</v>
      </c>
      <c r="B98" s="63" t="s">
        <v>526</v>
      </c>
      <c r="C98" s="69">
        <v>42965</v>
      </c>
      <c r="D98" s="63" t="s">
        <v>528</v>
      </c>
      <c r="E98" s="63">
        <v>15</v>
      </c>
      <c r="F98" s="63" t="s">
        <v>142</v>
      </c>
      <c r="G98" s="63" t="s">
        <v>508</v>
      </c>
      <c r="H98" s="63">
        <v>-250</v>
      </c>
      <c r="I98" s="63">
        <f t="shared" si="3"/>
        <v>-1910</v>
      </c>
    </row>
    <row r="99" spans="1:9" x14ac:dyDescent="0.25">
      <c r="A99" s="63" t="s">
        <v>164</v>
      </c>
      <c r="B99" s="63" t="s">
        <v>526</v>
      </c>
      <c r="C99" s="69">
        <v>42970</v>
      </c>
      <c r="D99" s="63" t="s">
        <v>528</v>
      </c>
      <c r="E99" s="63">
        <v>15</v>
      </c>
      <c r="F99" s="63" t="s">
        <v>142</v>
      </c>
      <c r="G99" s="63" t="s">
        <v>508</v>
      </c>
      <c r="H99" s="63">
        <v>-1000</v>
      </c>
      <c r="I99" s="63">
        <f t="shared" si="3"/>
        <v>-2910</v>
      </c>
    </row>
    <row r="100" spans="1:9" x14ac:dyDescent="0.25">
      <c r="A100" s="63" t="s">
        <v>164</v>
      </c>
      <c r="B100" s="63" t="s">
        <v>526</v>
      </c>
      <c r="C100" s="139" t="s">
        <v>525</v>
      </c>
      <c r="D100" s="139" t="s">
        <v>140</v>
      </c>
      <c r="E100" s="120">
        <f>I99</f>
        <v>-2910</v>
      </c>
    </row>
    <row r="101" spans="1:9" x14ac:dyDescent="0.25">
      <c r="C101" s="69"/>
    </row>
    <row r="102" spans="1:9" x14ac:dyDescent="0.25">
      <c r="C102" s="69"/>
    </row>
    <row r="103" spans="1:9" x14ac:dyDescent="0.25">
      <c r="C103" s="69"/>
    </row>
    <row r="104" spans="1:9" x14ac:dyDescent="0.25">
      <c r="C104" s="64"/>
      <c r="D104" s="64"/>
    </row>
  </sheetData>
  <sortState ref="C51:H89">
    <sortCondition ref="C51:C89"/>
  </sortState>
  <pageMargins left="0.7" right="0.7" top="0.75" bottom="0.75" header="0.3" footer="0.3"/>
  <customProperties>
    <customPr name="_pios_id" r:id="rId1"/>
  </customPropertie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sheetPr>
  <dimension ref="A1:J72"/>
  <sheetViews>
    <sheetView workbookViewId="0"/>
  </sheetViews>
  <sheetFormatPr defaultRowHeight="15" x14ac:dyDescent="0.25"/>
  <cols>
    <col min="1" max="1" width="12.7109375" customWidth="1"/>
    <col min="2" max="2" width="39" bestFit="1" customWidth="1"/>
    <col min="3" max="3" width="30" bestFit="1" customWidth="1"/>
    <col min="4" max="4" width="18" bestFit="1" customWidth="1"/>
    <col min="5" max="5" width="10.140625" bestFit="1" customWidth="1"/>
    <col min="6" max="6" width="10.85546875" bestFit="1" customWidth="1"/>
    <col min="7" max="7" width="50.5703125" bestFit="1" customWidth="1"/>
    <col min="8" max="8" width="8.140625" bestFit="1" customWidth="1"/>
    <col min="9" max="9" width="18.7109375" bestFit="1" customWidth="1"/>
  </cols>
  <sheetData>
    <row r="1" spans="1:10" x14ac:dyDescent="0.25">
      <c r="A1" s="64" t="s">
        <v>484</v>
      </c>
      <c r="B1" s="63"/>
      <c r="C1" s="64"/>
      <c r="D1" s="63"/>
      <c r="E1" s="63"/>
      <c r="F1" s="63"/>
      <c r="G1" s="63"/>
      <c r="H1" s="63"/>
      <c r="I1" s="63"/>
      <c r="J1" s="63"/>
    </row>
    <row r="2" spans="1:10" x14ac:dyDescent="0.25">
      <c r="A2" s="64" t="s">
        <v>523</v>
      </c>
      <c r="B2" s="63"/>
      <c r="C2" s="64"/>
      <c r="D2" s="63"/>
      <c r="E2" s="63"/>
      <c r="F2" s="63"/>
      <c r="G2" s="63"/>
      <c r="H2" s="63"/>
      <c r="I2" s="63"/>
      <c r="J2" s="63"/>
    </row>
    <row r="3" spans="1:10" x14ac:dyDescent="0.25">
      <c r="A3" s="63" t="s">
        <v>407</v>
      </c>
      <c r="B3" s="63" t="s">
        <v>408</v>
      </c>
      <c r="C3" s="64" t="s">
        <v>145</v>
      </c>
      <c r="D3" s="64" t="s">
        <v>146</v>
      </c>
      <c r="E3" s="64" t="s">
        <v>147</v>
      </c>
      <c r="F3" s="64" t="s">
        <v>148</v>
      </c>
      <c r="G3" s="64" t="s">
        <v>149</v>
      </c>
      <c r="H3" s="64" t="s">
        <v>163</v>
      </c>
      <c r="I3" s="64" t="s">
        <v>409</v>
      </c>
      <c r="J3" s="63"/>
    </row>
    <row r="4" spans="1:10" x14ac:dyDescent="0.25">
      <c r="F4" s="64" t="s">
        <v>150</v>
      </c>
      <c r="G4" s="64" t="s">
        <v>140</v>
      </c>
      <c r="H4" s="63"/>
      <c r="I4" s="63"/>
      <c r="J4" s="63"/>
    </row>
    <row r="5" spans="1:10" s="63" customFormat="1" x14ac:dyDescent="0.25">
      <c r="A5" s="63" t="s">
        <v>562</v>
      </c>
      <c r="B5" s="63" t="s">
        <v>563</v>
      </c>
      <c r="C5" s="138">
        <v>42552</v>
      </c>
      <c r="D5" s="64" t="s">
        <v>564</v>
      </c>
      <c r="E5" s="64" t="s">
        <v>565</v>
      </c>
      <c r="F5" s="64" t="s">
        <v>141</v>
      </c>
      <c r="G5" s="64" t="s">
        <v>566</v>
      </c>
      <c r="H5" s="63">
        <v>-12082.24</v>
      </c>
      <c r="I5" s="63">
        <f>H5</f>
        <v>-12082.24</v>
      </c>
    </row>
    <row r="6" spans="1:10" s="63" customFormat="1" x14ac:dyDescent="0.25">
      <c r="A6" s="63" t="s">
        <v>562</v>
      </c>
      <c r="B6" s="63" t="s">
        <v>563</v>
      </c>
      <c r="C6" s="138">
        <v>42552</v>
      </c>
      <c r="D6" s="64" t="s">
        <v>564</v>
      </c>
      <c r="E6" s="64" t="s">
        <v>567</v>
      </c>
      <c r="F6" s="64" t="s">
        <v>141</v>
      </c>
      <c r="G6" s="64" t="s">
        <v>566</v>
      </c>
      <c r="H6" s="63">
        <v>-12082.24</v>
      </c>
      <c r="I6" s="63">
        <f>I5+H6</f>
        <v>-24164.48</v>
      </c>
    </row>
    <row r="7" spans="1:10" s="63" customFormat="1" x14ac:dyDescent="0.25">
      <c r="A7" s="63" t="s">
        <v>562</v>
      </c>
      <c r="B7" s="63" t="s">
        <v>563</v>
      </c>
      <c r="C7" s="138">
        <v>42552</v>
      </c>
      <c r="D7" s="64" t="s">
        <v>564</v>
      </c>
      <c r="E7" s="64" t="s">
        <v>568</v>
      </c>
      <c r="F7" s="64" t="s">
        <v>141</v>
      </c>
      <c r="G7" s="64" t="s">
        <v>566</v>
      </c>
      <c r="H7" s="63">
        <v>-12082.24</v>
      </c>
      <c r="I7" s="63">
        <f>I6+H7</f>
        <v>-36246.720000000001</v>
      </c>
    </row>
    <row r="8" spans="1:10" s="63" customFormat="1" x14ac:dyDescent="0.25">
      <c r="A8" s="63" t="s">
        <v>562</v>
      </c>
      <c r="B8" s="63" t="s">
        <v>563</v>
      </c>
      <c r="C8" s="139" t="s">
        <v>525</v>
      </c>
      <c r="D8" s="139" t="s">
        <v>140</v>
      </c>
      <c r="E8" s="120">
        <f>I7</f>
        <v>-36246.720000000001</v>
      </c>
      <c r="F8" s="64"/>
      <c r="G8" s="64"/>
    </row>
    <row r="9" spans="1:10" s="63" customFormat="1" x14ac:dyDescent="0.25">
      <c r="A9" s="63" t="s">
        <v>569</v>
      </c>
      <c r="B9" s="63" t="s">
        <v>570</v>
      </c>
      <c r="C9" s="138">
        <v>42552</v>
      </c>
      <c r="D9" s="64" t="s">
        <v>571</v>
      </c>
      <c r="E9" s="64" t="s">
        <v>572</v>
      </c>
      <c r="F9" s="64" t="s">
        <v>164</v>
      </c>
      <c r="G9" s="64" t="s">
        <v>573</v>
      </c>
      <c r="H9" s="63">
        <v>36246.720000000001</v>
      </c>
      <c r="I9" s="63">
        <f>H9</f>
        <v>36246.720000000001</v>
      </c>
    </row>
    <row r="10" spans="1:10" s="63" customFormat="1" x14ac:dyDescent="0.25">
      <c r="A10" s="63" t="s">
        <v>569</v>
      </c>
      <c r="B10" s="63" t="s">
        <v>570</v>
      </c>
      <c r="C10" s="139" t="s">
        <v>525</v>
      </c>
      <c r="D10" s="139"/>
      <c r="E10" s="139">
        <f>I9</f>
        <v>36246.720000000001</v>
      </c>
      <c r="F10" s="64"/>
      <c r="G10" s="64"/>
    </row>
    <row r="11" spans="1:10" x14ac:dyDescent="0.25">
      <c r="A11" t="s">
        <v>143</v>
      </c>
      <c r="B11" t="s">
        <v>144</v>
      </c>
      <c r="C11" s="69">
        <v>42551</v>
      </c>
      <c r="D11" t="s">
        <v>524</v>
      </c>
      <c r="E11">
        <v>2</v>
      </c>
      <c r="F11" t="s">
        <v>142</v>
      </c>
      <c r="G11" s="63" t="s">
        <v>511</v>
      </c>
      <c r="H11">
        <v>60</v>
      </c>
      <c r="I11">
        <f>H11</f>
        <v>60</v>
      </c>
    </row>
    <row r="12" spans="1:10" x14ac:dyDescent="0.25">
      <c r="A12" s="63" t="s">
        <v>143</v>
      </c>
      <c r="B12" s="63" t="s">
        <v>144</v>
      </c>
      <c r="C12" s="69">
        <v>42551</v>
      </c>
      <c r="D12" s="63" t="s">
        <v>524</v>
      </c>
      <c r="E12">
        <v>2</v>
      </c>
      <c r="F12" s="63" t="s">
        <v>142</v>
      </c>
      <c r="G12" s="63" t="s">
        <v>512</v>
      </c>
      <c r="H12">
        <v>60</v>
      </c>
      <c r="I12">
        <f>I11+H12</f>
        <v>120</v>
      </c>
    </row>
    <row r="13" spans="1:10" x14ac:dyDescent="0.25">
      <c r="A13" s="63" t="s">
        <v>143</v>
      </c>
      <c r="B13" s="63" t="s">
        <v>144</v>
      </c>
      <c r="C13" s="69">
        <v>42581</v>
      </c>
      <c r="D13" s="63" t="s">
        <v>524</v>
      </c>
      <c r="E13">
        <v>3</v>
      </c>
      <c r="F13" s="63" t="s">
        <v>142</v>
      </c>
      <c r="G13" s="63" t="s">
        <v>511</v>
      </c>
      <c r="H13">
        <v>60</v>
      </c>
      <c r="I13" s="63">
        <f t="shared" ref="I13:I25" si="0">I12+H13</f>
        <v>180</v>
      </c>
    </row>
    <row r="14" spans="1:10" x14ac:dyDescent="0.25">
      <c r="A14" s="63" t="s">
        <v>143</v>
      </c>
      <c r="B14" s="63" t="s">
        <v>144</v>
      </c>
      <c r="C14" s="69">
        <v>42581</v>
      </c>
      <c r="D14" s="63" t="s">
        <v>524</v>
      </c>
      <c r="E14">
        <v>3</v>
      </c>
      <c r="F14" s="63" t="s">
        <v>142</v>
      </c>
      <c r="G14" s="63" t="s">
        <v>512</v>
      </c>
      <c r="H14">
        <v>60</v>
      </c>
      <c r="I14" s="63">
        <f t="shared" si="0"/>
        <v>240</v>
      </c>
    </row>
    <row r="15" spans="1:10" x14ac:dyDescent="0.25">
      <c r="A15" s="63" t="s">
        <v>143</v>
      </c>
      <c r="B15" s="63" t="s">
        <v>144</v>
      </c>
      <c r="C15" s="69">
        <v>42592</v>
      </c>
      <c r="D15" s="63" t="s">
        <v>524</v>
      </c>
      <c r="E15">
        <v>3</v>
      </c>
      <c r="F15" s="63" t="s">
        <v>142</v>
      </c>
      <c r="G15" s="63" t="s">
        <v>517</v>
      </c>
      <c r="H15">
        <v>1.05</v>
      </c>
      <c r="I15" s="63">
        <f t="shared" si="0"/>
        <v>241.05</v>
      </c>
    </row>
    <row r="16" spans="1:10" x14ac:dyDescent="0.25">
      <c r="A16" s="63" t="s">
        <v>143</v>
      </c>
      <c r="B16" s="63" t="s">
        <v>144</v>
      </c>
      <c r="C16" s="69">
        <v>42613</v>
      </c>
      <c r="D16" s="63" t="s">
        <v>524</v>
      </c>
      <c r="E16">
        <v>4</v>
      </c>
      <c r="F16" s="63" t="s">
        <v>142</v>
      </c>
      <c r="G16" s="63" t="s">
        <v>511</v>
      </c>
      <c r="H16">
        <v>60</v>
      </c>
      <c r="I16" s="63">
        <f t="shared" si="0"/>
        <v>301.05</v>
      </c>
    </row>
    <row r="17" spans="1:9" x14ac:dyDescent="0.25">
      <c r="A17" s="63" t="s">
        <v>143</v>
      </c>
      <c r="B17" s="63" t="s">
        <v>144</v>
      </c>
      <c r="C17" s="69">
        <v>42613</v>
      </c>
      <c r="D17" s="63" t="s">
        <v>524</v>
      </c>
      <c r="E17">
        <v>4</v>
      </c>
      <c r="F17" s="63" t="s">
        <v>142</v>
      </c>
      <c r="G17" s="63" t="s">
        <v>512</v>
      </c>
      <c r="H17">
        <v>60</v>
      </c>
      <c r="I17" s="63">
        <f t="shared" si="0"/>
        <v>361.05</v>
      </c>
    </row>
    <row r="18" spans="1:9" x14ac:dyDescent="0.25">
      <c r="A18" s="63" t="s">
        <v>143</v>
      </c>
      <c r="B18" s="63" t="s">
        <v>144</v>
      </c>
      <c r="C18" s="69">
        <v>42643</v>
      </c>
      <c r="D18" s="63" t="s">
        <v>524</v>
      </c>
      <c r="E18">
        <v>5</v>
      </c>
      <c r="F18" s="63" t="s">
        <v>142</v>
      </c>
      <c r="G18" s="63" t="s">
        <v>511</v>
      </c>
      <c r="H18">
        <v>60</v>
      </c>
      <c r="I18" s="63">
        <f t="shared" si="0"/>
        <v>421.05</v>
      </c>
    </row>
    <row r="19" spans="1:9" x14ac:dyDescent="0.25">
      <c r="A19" s="63" t="s">
        <v>143</v>
      </c>
      <c r="B19" s="63" t="s">
        <v>144</v>
      </c>
      <c r="C19" s="69">
        <v>42643</v>
      </c>
      <c r="D19" s="63" t="s">
        <v>524</v>
      </c>
      <c r="E19">
        <v>5</v>
      </c>
      <c r="F19" s="63" t="s">
        <v>142</v>
      </c>
      <c r="G19" s="63" t="s">
        <v>512</v>
      </c>
      <c r="H19">
        <v>60</v>
      </c>
      <c r="I19" s="63">
        <f t="shared" si="0"/>
        <v>481.05</v>
      </c>
    </row>
    <row r="20" spans="1:9" x14ac:dyDescent="0.25">
      <c r="A20" s="63" t="s">
        <v>143</v>
      </c>
      <c r="B20" s="63" t="s">
        <v>144</v>
      </c>
      <c r="C20" s="69">
        <v>42674</v>
      </c>
      <c r="D20" s="63" t="s">
        <v>524</v>
      </c>
      <c r="E20">
        <v>6</v>
      </c>
      <c r="F20" s="63" t="s">
        <v>142</v>
      </c>
      <c r="G20" s="63" t="s">
        <v>511</v>
      </c>
      <c r="H20">
        <v>60</v>
      </c>
      <c r="I20" s="63">
        <f t="shared" si="0"/>
        <v>541.04999999999995</v>
      </c>
    </row>
    <row r="21" spans="1:9" x14ac:dyDescent="0.25">
      <c r="A21" s="63" t="s">
        <v>143</v>
      </c>
      <c r="B21" s="63" t="s">
        <v>144</v>
      </c>
      <c r="C21" s="69">
        <v>42674</v>
      </c>
      <c r="D21" s="63" t="s">
        <v>524</v>
      </c>
      <c r="E21">
        <v>6</v>
      </c>
      <c r="F21" s="63" t="s">
        <v>142</v>
      </c>
      <c r="G21" s="63" t="s">
        <v>512</v>
      </c>
      <c r="H21">
        <v>60</v>
      </c>
      <c r="I21" s="63">
        <f t="shared" si="0"/>
        <v>601.04999999999995</v>
      </c>
    </row>
    <row r="22" spans="1:9" x14ac:dyDescent="0.25">
      <c r="A22" s="63" t="s">
        <v>143</v>
      </c>
      <c r="B22" s="63" t="s">
        <v>144</v>
      </c>
      <c r="C22" s="69">
        <v>42704</v>
      </c>
      <c r="D22" s="63" t="s">
        <v>524</v>
      </c>
      <c r="E22">
        <v>7</v>
      </c>
      <c r="F22" s="63" t="s">
        <v>142</v>
      </c>
      <c r="G22" s="63" t="s">
        <v>511</v>
      </c>
      <c r="H22">
        <v>60</v>
      </c>
      <c r="I22" s="63">
        <f t="shared" si="0"/>
        <v>661.05</v>
      </c>
    </row>
    <row r="23" spans="1:9" x14ac:dyDescent="0.25">
      <c r="A23" s="63" t="s">
        <v>143</v>
      </c>
      <c r="B23" s="63" t="s">
        <v>144</v>
      </c>
      <c r="C23" s="69">
        <v>42704</v>
      </c>
      <c r="D23" s="63" t="s">
        <v>524</v>
      </c>
      <c r="E23">
        <v>7</v>
      </c>
      <c r="F23" s="63" t="s">
        <v>142</v>
      </c>
      <c r="G23" s="63" t="s">
        <v>512</v>
      </c>
      <c r="H23">
        <v>60</v>
      </c>
      <c r="I23" s="63">
        <f t="shared" si="0"/>
        <v>721.05</v>
      </c>
    </row>
    <row r="24" spans="1:9" x14ac:dyDescent="0.25">
      <c r="A24" s="63" t="s">
        <v>143</v>
      </c>
      <c r="B24" s="63" t="s">
        <v>144</v>
      </c>
      <c r="C24" s="69">
        <v>42735</v>
      </c>
      <c r="D24" s="63" t="s">
        <v>524</v>
      </c>
      <c r="E24">
        <v>8</v>
      </c>
      <c r="F24" s="63" t="s">
        <v>142</v>
      </c>
      <c r="G24" s="63" t="s">
        <v>511</v>
      </c>
      <c r="H24">
        <v>60</v>
      </c>
      <c r="I24" s="63">
        <f t="shared" si="0"/>
        <v>781.05</v>
      </c>
    </row>
    <row r="25" spans="1:9" x14ac:dyDescent="0.25">
      <c r="A25" s="63" t="s">
        <v>143</v>
      </c>
      <c r="B25" s="63" t="s">
        <v>144</v>
      </c>
      <c r="C25" s="69">
        <v>42735</v>
      </c>
      <c r="D25" s="63" t="s">
        <v>524</v>
      </c>
      <c r="E25">
        <v>8</v>
      </c>
      <c r="F25" s="63" t="s">
        <v>142</v>
      </c>
      <c r="G25" s="63" t="s">
        <v>512</v>
      </c>
      <c r="H25">
        <v>60</v>
      </c>
      <c r="I25" s="63">
        <f t="shared" si="0"/>
        <v>841.05</v>
      </c>
    </row>
    <row r="26" spans="1:9" x14ac:dyDescent="0.25">
      <c r="A26" s="63" t="s">
        <v>143</v>
      </c>
      <c r="B26" s="63" t="s">
        <v>144</v>
      </c>
      <c r="C26" s="139" t="s">
        <v>525</v>
      </c>
      <c r="D26" s="139" t="s">
        <v>140</v>
      </c>
      <c r="E26" s="120">
        <f>I25</f>
        <v>841.05</v>
      </c>
      <c r="F26" s="63"/>
      <c r="G26" s="63"/>
      <c r="H26" s="63">
        <v>0</v>
      </c>
      <c r="I26" s="63"/>
    </row>
    <row r="27" spans="1:9" s="63" customFormat="1" x14ac:dyDescent="0.25">
      <c r="A27" s="63" t="s">
        <v>141</v>
      </c>
      <c r="B27" s="63" t="s">
        <v>162</v>
      </c>
      <c r="C27" s="69">
        <v>42556</v>
      </c>
      <c r="D27" s="63" t="s">
        <v>528</v>
      </c>
      <c r="E27" s="63">
        <v>2</v>
      </c>
      <c r="F27" s="63" t="s">
        <v>142</v>
      </c>
      <c r="G27" s="63" t="s">
        <v>513</v>
      </c>
      <c r="H27" s="63">
        <v>-12082.24</v>
      </c>
      <c r="I27" s="63">
        <f>H27</f>
        <v>-12082.24</v>
      </c>
    </row>
    <row r="28" spans="1:9" s="63" customFormat="1" x14ac:dyDescent="0.25">
      <c r="A28" s="63" t="s">
        <v>141</v>
      </c>
      <c r="B28" s="63" t="s">
        <v>162</v>
      </c>
      <c r="C28" s="69">
        <v>42556</v>
      </c>
      <c r="D28" s="63" t="s">
        <v>528</v>
      </c>
      <c r="E28" s="63">
        <v>2</v>
      </c>
      <c r="F28" s="63" t="s">
        <v>142</v>
      </c>
      <c r="G28" s="63" t="s">
        <v>514</v>
      </c>
      <c r="H28" s="63">
        <v>-12082.24</v>
      </c>
      <c r="I28" s="63">
        <f>I27+H28</f>
        <v>-24164.48</v>
      </c>
    </row>
    <row r="29" spans="1:9" s="63" customFormat="1" x14ac:dyDescent="0.25">
      <c r="A29" s="63" t="s">
        <v>141</v>
      </c>
      <c r="B29" s="63" t="s">
        <v>162</v>
      </c>
      <c r="C29" s="69">
        <v>42639</v>
      </c>
      <c r="D29" s="63" t="s">
        <v>528</v>
      </c>
      <c r="E29" s="63">
        <v>5</v>
      </c>
      <c r="F29" s="63" t="s">
        <v>142</v>
      </c>
      <c r="G29" s="63" t="s">
        <v>518</v>
      </c>
      <c r="H29" s="63">
        <v>-12082.24</v>
      </c>
      <c r="I29" s="63">
        <f>I28+H29</f>
        <v>-36246.720000000001</v>
      </c>
    </row>
    <row r="30" spans="1:9" s="63" customFormat="1" x14ac:dyDescent="0.25">
      <c r="A30" s="63" t="s">
        <v>141</v>
      </c>
      <c r="B30" s="63" t="s">
        <v>162</v>
      </c>
      <c r="C30" s="138">
        <v>42552</v>
      </c>
      <c r="D30" s="64" t="s">
        <v>564</v>
      </c>
      <c r="E30" s="64" t="s">
        <v>565</v>
      </c>
      <c r="F30" s="63" t="s">
        <v>562</v>
      </c>
      <c r="G30" s="64" t="s">
        <v>566</v>
      </c>
      <c r="H30" s="63">
        <v>12082.24</v>
      </c>
      <c r="I30" s="63">
        <f t="shared" ref="I30:I32" si="1">I29+H30</f>
        <v>-24164.480000000003</v>
      </c>
    </row>
    <row r="31" spans="1:9" s="63" customFormat="1" x14ac:dyDescent="0.25">
      <c r="A31" s="63" t="s">
        <v>141</v>
      </c>
      <c r="B31" s="63" t="s">
        <v>162</v>
      </c>
      <c r="C31" s="138">
        <v>42552</v>
      </c>
      <c r="D31" s="64" t="s">
        <v>564</v>
      </c>
      <c r="E31" s="64" t="s">
        <v>567</v>
      </c>
      <c r="F31" s="63" t="s">
        <v>562</v>
      </c>
      <c r="G31" s="64" t="s">
        <v>566</v>
      </c>
      <c r="H31" s="63">
        <v>12082.24</v>
      </c>
      <c r="I31" s="63">
        <f t="shared" si="1"/>
        <v>-12082.240000000003</v>
      </c>
    </row>
    <row r="32" spans="1:9" s="63" customFormat="1" x14ac:dyDescent="0.25">
      <c r="A32" s="63" t="s">
        <v>141</v>
      </c>
      <c r="B32" s="63" t="s">
        <v>162</v>
      </c>
      <c r="C32" s="138">
        <v>42552</v>
      </c>
      <c r="D32" s="64" t="s">
        <v>564</v>
      </c>
      <c r="E32" s="64" t="s">
        <v>568</v>
      </c>
      <c r="F32" s="63" t="s">
        <v>562</v>
      </c>
      <c r="G32" s="64" t="s">
        <v>566</v>
      </c>
      <c r="H32" s="63">
        <v>12082.24</v>
      </c>
      <c r="I32" s="63">
        <f t="shared" si="1"/>
        <v>0</v>
      </c>
    </row>
    <row r="33" spans="1:9" s="63" customFormat="1" x14ac:dyDescent="0.25">
      <c r="A33" s="63" t="s">
        <v>141</v>
      </c>
      <c r="B33" s="63" t="s">
        <v>162</v>
      </c>
      <c r="C33" s="139" t="s">
        <v>525</v>
      </c>
      <c r="D33" s="139" t="s">
        <v>140</v>
      </c>
      <c r="E33" s="120">
        <f>I32</f>
        <v>0</v>
      </c>
    </row>
    <row r="34" spans="1:9" s="63" customFormat="1" x14ac:dyDescent="0.25">
      <c r="A34" s="63" t="s">
        <v>142</v>
      </c>
      <c r="B34" s="63" t="s">
        <v>527</v>
      </c>
      <c r="C34" s="69">
        <v>42521</v>
      </c>
      <c r="D34" s="63" t="s">
        <v>528</v>
      </c>
      <c r="E34" s="63">
        <v>1</v>
      </c>
      <c r="G34" s="63" t="s">
        <v>505</v>
      </c>
      <c r="H34" s="63">
        <v>300</v>
      </c>
      <c r="I34" s="63">
        <f>H34</f>
        <v>300</v>
      </c>
    </row>
    <row r="35" spans="1:9" s="63" customFormat="1" x14ac:dyDescent="0.25">
      <c r="A35" s="63" t="s">
        <v>142</v>
      </c>
      <c r="B35" s="63" t="s">
        <v>527</v>
      </c>
      <c r="C35" s="69">
        <v>42521</v>
      </c>
      <c r="D35" s="63" t="s">
        <v>528</v>
      </c>
      <c r="E35" s="63">
        <v>1</v>
      </c>
      <c r="G35" s="63" t="s">
        <v>506</v>
      </c>
      <c r="H35" s="63">
        <v>100</v>
      </c>
      <c r="I35" s="63">
        <f>I34+H35</f>
        <v>400</v>
      </c>
    </row>
    <row r="36" spans="1:9" s="63" customFormat="1" x14ac:dyDescent="0.25">
      <c r="A36" s="63" t="s">
        <v>142</v>
      </c>
      <c r="B36" s="63" t="s">
        <v>527</v>
      </c>
      <c r="C36" s="69">
        <v>42521</v>
      </c>
      <c r="D36" s="63" t="s">
        <v>528</v>
      </c>
      <c r="E36" s="63">
        <v>1</v>
      </c>
      <c r="G36" s="63" t="s">
        <v>507</v>
      </c>
      <c r="H36" s="63">
        <v>110</v>
      </c>
      <c r="I36" s="63">
        <f t="shared" ref="I36:I58" si="2">I35+H36</f>
        <v>510</v>
      </c>
    </row>
    <row r="37" spans="1:9" s="63" customFormat="1" x14ac:dyDescent="0.25">
      <c r="A37" s="63" t="s">
        <v>142</v>
      </c>
      <c r="B37" s="63" t="s">
        <v>527</v>
      </c>
      <c r="C37" s="69">
        <v>42542</v>
      </c>
      <c r="D37" s="63" t="s">
        <v>528</v>
      </c>
      <c r="E37" s="63">
        <v>1</v>
      </c>
      <c r="G37" s="63" t="s">
        <v>508</v>
      </c>
      <c r="H37" s="63">
        <v>50</v>
      </c>
      <c r="I37" s="63">
        <f t="shared" si="2"/>
        <v>560</v>
      </c>
    </row>
    <row r="38" spans="1:9" s="63" customFormat="1" x14ac:dyDescent="0.25">
      <c r="A38" s="63" t="s">
        <v>142</v>
      </c>
      <c r="B38" s="63" t="s">
        <v>527</v>
      </c>
      <c r="C38" s="69">
        <v>42551</v>
      </c>
      <c r="D38" s="63" t="s">
        <v>524</v>
      </c>
      <c r="E38" s="63">
        <v>2</v>
      </c>
      <c r="G38" s="63" t="s">
        <v>511</v>
      </c>
      <c r="H38" s="63">
        <v>-60</v>
      </c>
      <c r="I38" s="63">
        <f t="shared" si="2"/>
        <v>500</v>
      </c>
    </row>
    <row r="39" spans="1:9" s="63" customFormat="1" x14ac:dyDescent="0.25">
      <c r="A39" s="63" t="s">
        <v>142</v>
      </c>
      <c r="B39" s="63" t="s">
        <v>527</v>
      </c>
      <c r="C39" s="69">
        <v>42551</v>
      </c>
      <c r="D39" s="63" t="s">
        <v>524</v>
      </c>
      <c r="E39" s="63">
        <v>2</v>
      </c>
      <c r="G39" s="63" t="s">
        <v>512</v>
      </c>
      <c r="H39" s="63">
        <v>-60</v>
      </c>
      <c r="I39" s="63">
        <f t="shared" si="2"/>
        <v>440</v>
      </c>
    </row>
    <row r="40" spans="1:9" s="63" customFormat="1" x14ac:dyDescent="0.25">
      <c r="A40" s="63" t="s">
        <v>142</v>
      </c>
      <c r="B40" s="63" t="s">
        <v>527</v>
      </c>
      <c r="C40" s="69">
        <v>42556</v>
      </c>
      <c r="D40" s="63" t="s">
        <v>528</v>
      </c>
      <c r="E40" s="63">
        <v>2</v>
      </c>
      <c r="G40" s="63" t="s">
        <v>513</v>
      </c>
      <c r="H40" s="63">
        <v>12082.24</v>
      </c>
      <c r="I40" s="63">
        <f t="shared" si="2"/>
        <v>12522.24</v>
      </c>
    </row>
    <row r="41" spans="1:9" s="63" customFormat="1" x14ac:dyDescent="0.25">
      <c r="A41" s="63" t="s">
        <v>142</v>
      </c>
      <c r="B41" s="63" t="s">
        <v>527</v>
      </c>
      <c r="C41" s="69">
        <v>42556</v>
      </c>
      <c r="D41" s="63" t="s">
        <v>528</v>
      </c>
      <c r="E41" s="63">
        <v>2</v>
      </c>
      <c r="G41" s="63" t="s">
        <v>514</v>
      </c>
      <c r="H41" s="63">
        <v>12082.24</v>
      </c>
      <c r="I41" s="63">
        <f t="shared" si="2"/>
        <v>24604.48</v>
      </c>
    </row>
    <row r="42" spans="1:9" s="63" customFormat="1" x14ac:dyDescent="0.25">
      <c r="A42" s="63" t="s">
        <v>142</v>
      </c>
      <c r="B42" s="63" t="s">
        <v>527</v>
      </c>
      <c r="C42" s="69">
        <v>42581</v>
      </c>
      <c r="D42" s="63" t="s">
        <v>524</v>
      </c>
      <c r="E42" s="63">
        <v>3</v>
      </c>
      <c r="G42" s="63" t="s">
        <v>511</v>
      </c>
      <c r="H42" s="63">
        <v>-60</v>
      </c>
      <c r="I42" s="63">
        <f t="shared" si="2"/>
        <v>24544.48</v>
      </c>
    </row>
    <row r="43" spans="1:9" s="63" customFormat="1" x14ac:dyDescent="0.25">
      <c r="A43" s="63" t="s">
        <v>142</v>
      </c>
      <c r="B43" s="63" t="s">
        <v>527</v>
      </c>
      <c r="C43" s="69">
        <v>42581</v>
      </c>
      <c r="D43" s="63" t="s">
        <v>524</v>
      </c>
      <c r="E43" s="63">
        <v>3</v>
      </c>
      <c r="G43" s="63" t="s">
        <v>512</v>
      </c>
      <c r="H43" s="63">
        <v>-60</v>
      </c>
      <c r="I43" s="63">
        <f t="shared" si="2"/>
        <v>24484.48</v>
      </c>
    </row>
    <row r="44" spans="1:9" s="63" customFormat="1" x14ac:dyDescent="0.25">
      <c r="A44" s="63" t="s">
        <v>142</v>
      </c>
      <c r="B44" s="63" t="s">
        <v>527</v>
      </c>
      <c r="C44" s="69">
        <v>42592</v>
      </c>
      <c r="D44" s="63" t="s">
        <v>524</v>
      </c>
      <c r="E44" s="63">
        <v>3</v>
      </c>
      <c r="G44" s="63" t="s">
        <v>516</v>
      </c>
      <c r="H44" s="63">
        <v>-24164.48</v>
      </c>
      <c r="I44" s="63">
        <f t="shared" si="2"/>
        <v>320</v>
      </c>
    </row>
    <row r="45" spans="1:9" s="63" customFormat="1" x14ac:dyDescent="0.25">
      <c r="A45" s="63" t="s">
        <v>142</v>
      </c>
      <c r="B45" s="63" t="s">
        <v>527</v>
      </c>
      <c r="C45" s="69">
        <v>42592</v>
      </c>
      <c r="D45" s="63" t="s">
        <v>524</v>
      </c>
      <c r="E45" s="63">
        <v>3</v>
      </c>
      <c r="G45" s="63" t="s">
        <v>517</v>
      </c>
      <c r="H45" s="63">
        <v>-1.05</v>
      </c>
      <c r="I45" s="63">
        <f t="shared" si="2"/>
        <v>318.95</v>
      </c>
    </row>
    <row r="46" spans="1:9" s="63" customFormat="1" x14ac:dyDescent="0.25">
      <c r="A46" s="63" t="s">
        <v>142</v>
      </c>
      <c r="B46" s="63" t="s">
        <v>527</v>
      </c>
      <c r="C46" s="69">
        <v>42613</v>
      </c>
      <c r="D46" s="63" t="s">
        <v>524</v>
      </c>
      <c r="E46" s="63">
        <v>4</v>
      </c>
      <c r="G46" s="63" t="s">
        <v>511</v>
      </c>
      <c r="H46" s="63">
        <v>-60</v>
      </c>
      <c r="I46" s="63">
        <f t="shared" si="2"/>
        <v>258.95</v>
      </c>
    </row>
    <row r="47" spans="1:9" s="63" customFormat="1" x14ac:dyDescent="0.25">
      <c r="A47" s="63" t="s">
        <v>142</v>
      </c>
      <c r="B47" s="63" t="s">
        <v>527</v>
      </c>
      <c r="C47" s="69">
        <v>42613</v>
      </c>
      <c r="D47" s="63" t="s">
        <v>524</v>
      </c>
      <c r="E47" s="63">
        <v>4</v>
      </c>
      <c r="G47" s="63" t="s">
        <v>512</v>
      </c>
      <c r="H47" s="63">
        <v>-60</v>
      </c>
      <c r="I47" s="63">
        <f t="shared" si="2"/>
        <v>198.95</v>
      </c>
    </row>
    <row r="48" spans="1:9" s="63" customFormat="1" x14ac:dyDescent="0.25">
      <c r="A48" s="63" t="s">
        <v>142</v>
      </c>
      <c r="B48" s="63" t="s">
        <v>527</v>
      </c>
      <c r="C48" s="69">
        <v>42633</v>
      </c>
      <c r="D48" s="63" t="s">
        <v>528</v>
      </c>
      <c r="E48" s="63">
        <v>4</v>
      </c>
      <c r="G48" s="63" t="s">
        <v>508</v>
      </c>
      <c r="H48" s="63">
        <v>100</v>
      </c>
      <c r="I48" s="63">
        <f t="shared" si="2"/>
        <v>298.95</v>
      </c>
    </row>
    <row r="49" spans="1:9" s="63" customFormat="1" x14ac:dyDescent="0.25">
      <c r="A49" s="63" t="s">
        <v>142</v>
      </c>
      <c r="B49" s="63" t="s">
        <v>527</v>
      </c>
      <c r="C49" s="69">
        <v>42639</v>
      </c>
      <c r="D49" s="63" t="s">
        <v>528</v>
      </c>
      <c r="E49" s="63">
        <v>5</v>
      </c>
      <c r="G49" s="63" t="s">
        <v>518</v>
      </c>
      <c r="H49" s="63">
        <v>12082.24</v>
      </c>
      <c r="I49" s="63">
        <f t="shared" si="2"/>
        <v>12381.19</v>
      </c>
    </row>
    <row r="50" spans="1:9" s="63" customFormat="1" x14ac:dyDescent="0.25">
      <c r="A50" s="63" t="s">
        <v>142</v>
      </c>
      <c r="B50" s="63" t="s">
        <v>527</v>
      </c>
      <c r="C50" s="69">
        <v>42643</v>
      </c>
      <c r="D50" s="63" t="s">
        <v>524</v>
      </c>
      <c r="E50" s="63">
        <v>5</v>
      </c>
      <c r="G50" s="63" t="s">
        <v>511</v>
      </c>
      <c r="H50" s="63">
        <v>-60</v>
      </c>
      <c r="I50" s="63">
        <f t="shared" si="2"/>
        <v>12321.19</v>
      </c>
    </row>
    <row r="51" spans="1:9" s="63" customFormat="1" x14ac:dyDescent="0.25">
      <c r="A51" s="63" t="s">
        <v>142</v>
      </c>
      <c r="B51" s="63" t="s">
        <v>527</v>
      </c>
      <c r="C51" s="69">
        <v>42643</v>
      </c>
      <c r="D51" s="63" t="s">
        <v>524</v>
      </c>
      <c r="E51" s="63">
        <v>5</v>
      </c>
      <c r="G51" s="63" t="s">
        <v>512</v>
      </c>
      <c r="H51" s="63">
        <v>-60</v>
      </c>
      <c r="I51" s="63">
        <f t="shared" si="2"/>
        <v>12261.19</v>
      </c>
    </row>
    <row r="52" spans="1:9" s="63" customFormat="1" x14ac:dyDescent="0.25">
      <c r="A52" s="63" t="s">
        <v>142</v>
      </c>
      <c r="B52" s="63" t="s">
        <v>527</v>
      </c>
      <c r="C52" s="69">
        <v>42663</v>
      </c>
      <c r="D52" s="63" t="s">
        <v>528</v>
      </c>
      <c r="E52" s="63">
        <v>5</v>
      </c>
      <c r="G52" s="63" t="s">
        <v>508</v>
      </c>
      <c r="H52" s="63">
        <v>100</v>
      </c>
      <c r="I52" s="63">
        <f t="shared" si="2"/>
        <v>12361.19</v>
      </c>
    </row>
    <row r="53" spans="1:9" s="63" customFormat="1" x14ac:dyDescent="0.25">
      <c r="A53" s="63" t="s">
        <v>142</v>
      </c>
      <c r="B53" s="63" t="s">
        <v>527</v>
      </c>
      <c r="C53" s="69">
        <v>42674</v>
      </c>
      <c r="D53" s="63" t="s">
        <v>524</v>
      </c>
      <c r="E53" s="63">
        <v>6</v>
      </c>
      <c r="G53" s="63" t="s">
        <v>511</v>
      </c>
      <c r="H53" s="63">
        <v>-60</v>
      </c>
      <c r="I53" s="63">
        <f t="shared" si="2"/>
        <v>12301.19</v>
      </c>
    </row>
    <row r="54" spans="1:9" s="63" customFormat="1" x14ac:dyDescent="0.25">
      <c r="A54" s="63" t="s">
        <v>142</v>
      </c>
      <c r="B54" s="63" t="s">
        <v>527</v>
      </c>
      <c r="C54" s="69">
        <v>42674</v>
      </c>
      <c r="D54" s="63" t="s">
        <v>524</v>
      </c>
      <c r="E54" s="63">
        <v>6</v>
      </c>
      <c r="G54" s="63" t="s">
        <v>512</v>
      </c>
      <c r="H54" s="63">
        <v>-60</v>
      </c>
      <c r="I54" s="63">
        <f t="shared" si="2"/>
        <v>12241.19</v>
      </c>
    </row>
    <row r="55" spans="1:9" s="63" customFormat="1" x14ac:dyDescent="0.25">
      <c r="A55" s="63" t="s">
        <v>142</v>
      </c>
      <c r="B55" s="63" t="s">
        <v>527</v>
      </c>
      <c r="C55" s="69">
        <v>42704</v>
      </c>
      <c r="D55" s="63" t="s">
        <v>524</v>
      </c>
      <c r="E55" s="63">
        <v>7</v>
      </c>
      <c r="G55" s="63" t="s">
        <v>511</v>
      </c>
      <c r="H55" s="63">
        <v>-60</v>
      </c>
      <c r="I55" s="63">
        <f t="shared" si="2"/>
        <v>12181.19</v>
      </c>
    </row>
    <row r="56" spans="1:9" s="63" customFormat="1" x14ac:dyDescent="0.25">
      <c r="A56" s="63" t="s">
        <v>142</v>
      </c>
      <c r="B56" s="63" t="s">
        <v>527</v>
      </c>
      <c r="C56" s="69">
        <v>42704</v>
      </c>
      <c r="D56" s="63" t="s">
        <v>524</v>
      </c>
      <c r="E56" s="63">
        <v>7</v>
      </c>
      <c r="G56" s="63" t="s">
        <v>512</v>
      </c>
      <c r="H56" s="63">
        <v>-60</v>
      </c>
      <c r="I56" s="63">
        <f t="shared" si="2"/>
        <v>12121.19</v>
      </c>
    </row>
    <row r="57" spans="1:9" s="63" customFormat="1" x14ac:dyDescent="0.25">
      <c r="A57" s="63" t="s">
        <v>142</v>
      </c>
      <c r="B57" s="63" t="s">
        <v>527</v>
      </c>
      <c r="C57" s="69">
        <v>42735</v>
      </c>
      <c r="D57" s="63" t="s">
        <v>524</v>
      </c>
      <c r="E57" s="63">
        <v>8</v>
      </c>
      <c r="G57" s="63" t="s">
        <v>511</v>
      </c>
      <c r="H57" s="63">
        <v>-60</v>
      </c>
      <c r="I57" s="63">
        <f t="shared" si="2"/>
        <v>12061.19</v>
      </c>
    </row>
    <row r="58" spans="1:9" s="63" customFormat="1" x14ac:dyDescent="0.25">
      <c r="A58" s="63" t="s">
        <v>142</v>
      </c>
      <c r="B58" s="63" t="s">
        <v>527</v>
      </c>
      <c r="C58" s="124">
        <v>42735</v>
      </c>
      <c r="D58" s="63" t="s">
        <v>524</v>
      </c>
      <c r="E58" s="63">
        <v>8</v>
      </c>
      <c r="G58" s="63" t="s">
        <v>512</v>
      </c>
      <c r="H58" s="61">
        <v>-60</v>
      </c>
      <c r="I58" s="63">
        <f t="shared" si="2"/>
        <v>12001.19</v>
      </c>
    </row>
    <row r="59" spans="1:9" s="63" customFormat="1" x14ac:dyDescent="0.25">
      <c r="A59" s="63" t="s">
        <v>142</v>
      </c>
      <c r="B59" s="63" t="s">
        <v>527</v>
      </c>
      <c r="C59" s="139" t="s">
        <v>525</v>
      </c>
      <c r="D59" s="139" t="s">
        <v>140</v>
      </c>
      <c r="E59" s="120">
        <f>I58</f>
        <v>12001.19</v>
      </c>
    </row>
    <row r="60" spans="1:9" s="63" customFormat="1" x14ac:dyDescent="0.25">
      <c r="A60" s="63" t="s">
        <v>164</v>
      </c>
      <c r="B60" s="63" t="s">
        <v>526</v>
      </c>
      <c r="C60" s="69">
        <v>42521</v>
      </c>
      <c r="D60" s="63" t="s">
        <v>528</v>
      </c>
      <c r="E60" s="63">
        <v>1</v>
      </c>
      <c r="F60" s="63" t="s">
        <v>142</v>
      </c>
      <c r="G60" s="63" t="s">
        <v>505</v>
      </c>
      <c r="H60" s="63">
        <v>-300</v>
      </c>
      <c r="I60" s="63">
        <f>H60</f>
        <v>-300</v>
      </c>
    </row>
    <row r="61" spans="1:9" s="63" customFormat="1" x14ac:dyDescent="0.25">
      <c r="A61" s="63" t="s">
        <v>164</v>
      </c>
      <c r="B61" s="63" t="s">
        <v>526</v>
      </c>
      <c r="C61" s="69">
        <v>42521</v>
      </c>
      <c r="D61" s="63" t="s">
        <v>528</v>
      </c>
      <c r="E61" s="63">
        <v>1</v>
      </c>
      <c r="F61" s="63" t="s">
        <v>142</v>
      </c>
      <c r="G61" s="63" t="s">
        <v>506</v>
      </c>
      <c r="H61" s="63">
        <v>-100</v>
      </c>
      <c r="I61" s="63">
        <f>I60+H61</f>
        <v>-400</v>
      </c>
    </row>
    <row r="62" spans="1:9" s="63" customFormat="1" x14ac:dyDescent="0.25">
      <c r="A62" s="63" t="s">
        <v>164</v>
      </c>
      <c r="B62" s="63" t="s">
        <v>526</v>
      </c>
      <c r="C62" s="69">
        <v>42521</v>
      </c>
      <c r="D62" s="63" t="s">
        <v>528</v>
      </c>
      <c r="E62" s="63">
        <v>1</v>
      </c>
      <c r="F62" s="63" t="s">
        <v>142</v>
      </c>
      <c r="G62" s="63" t="s">
        <v>507</v>
      </c>
      <c r="H62" s="63">
        <v>-110</v>
      </c>
      <c r="I62" s="63">
        <f t="shared" ref="I62:I67" si="3">I61+H62</f>
        <v>-510</v>
      </c>
    </row>
    <row r="63" spans="1:9" s="63" customFormat="1" x14ac:dyDescent="0.25">
      <c r="A63" s="63" t="s">
        <v>164</v>
      </c>
      <c r="B63" s="63" t="s">
        <v>526</v>
      </c>
      <c r="C63" s="69">
        <v>42542</v>
      </c>
      <c r="D63" s="63" t="s">
        <v>528</v>
      </c>
      <c r="E63" s="63">
        <v>1</v>
      </c>
      <c r="F63" s="63" t="s">
        <v>142</v>
      </c>
      <c r="G63" s="63" t="s">
        <v>508</v>
      </c>
      <c r="H63" s="63">
        <v>-50</v>
      </c>
      <c r="I63" s="63">
        <f t="shared" si="3"/>
        <v>-560</v>
      </c>
    </row>
    <row r="64" spans="1:9" s="63" customFormat="1" x14ac:dyDescent="0.25">
      <c r="A64" s="63" t="s">
        <v>164</v>
      </c>
      <c r="B64" s="63" t="s">
        <v>526</v>
      </c>
      <c r="C64" s="69">
        <v>42552</v>
      </c>
      <c r="D64" s="64" t="s">
        <v>571</v>
      </c>
      <c r="E64" s="64" t="s">
        <v>572</v>
      </c>
      <c r="F64" s="64" t="s">
        <v>569</v>
      </c>
      <c r="G64" s="64" t="s">
        <v>573</v>
      </c>
      <c r="H64" s="63">
        <v>-36246.720000000001</v>
      </c>
      <c r="I64" s="63">
        <f t="shared" si="3"/>
        <v>-36806.720000000001</v>
      </c>
    </row>
    <row r="65" spans="1:9" x14ac:dyDescent="0.25">
      <c r="A65" s="63" t="s">
        <v>164</v>
      </c>
      <c r="B65" s="63" t="s">
        <v>526</v>
      </c>
      <c r="C65" s="69">
        <v>42592</v>
      </c>
      <c r="D65" s="63" t="s">
        <v>524</v>
      </c>
      <c r="E65">
        <v>3</v>
      </c>
      <c r="F65" s="63" t="s">
        <v>142</v>
      </c>
      <c r="G65" t="s">
        <v>516</v>
      </c>
      <c r="H65">
        <v>24164.48</v>
      </c>
      <c r="I65" s="63">
        <f t="shared" si="3"/>
        <v>-12642.240000000002</v>
      </c>
    </row>
    <row r="66" spans="1:9" s="63" customFormat="1" x14ac:dyDescent="0.25">
      <c r="A66" s="63" t="s">
        <v>164</v>
      </c>
      <c r="B66" s="63" t="s">
        <v>526</v>
      </c>
      <c r="C66" s="69">
        <v>42633</v>
      </c>
      <c r="D66" s="63" t="s">
        <v>528</v>
      </c>
      <c r="E66" s="63">
        <v>4</v>
      </c>
      <c r="F66" s="63" t="s">
        <v>142</v>
      </c>
      <c r="G66" s="63" t="s">
        <v>508</v>
      </c>
      <c r="H66" s="63">
        <v>-100</v>
      </c>
      <c r="I66" s="63">
        <f t="shared" si="3"/>
        <v>-12742.240000000002</v>
      </c>
    </row>
    <row r="67" spans="1:9" s="63" customFormat="1" x14ac:dyDescent="0.25">
      <c r="A67" s="63" t="s">
        <v>164</v>
      </c>
      <c r="B67" s="63" t="s">
        <v>526</v>
      </c>
      <c r="C67" s="69">
        <v>42663</v>
      </c>
      <c r="D67" s="63" t="s">
        <v>528</v>
      </c>
      <c r="E67" s="63">
        <v>5</v>
      </c>
      <c r="F67" s="63" t="s">
        <v>142</v>
      </c>
      <c r="G67" s="63" t="s">
        <v>508</v>
      </c>
      <c r="H67" s="63">
        <v>-100</v>
      </c>
      <c r="I67" s="63">
        <f t="shared" si="3"/>
        <v>-12842.240000000002</v>
      </c>
    </row>
    <row r="68" spans="1:9" x14ac:dyDescent="0.25">
      <c r="A68" s="63" t="s">
        <v>164</v>
      </c>
      <c r="B68" s="63" t="s">
        <v>526</v>
      </c>
      <c r="C68" s="139" t="s">
        <v>525</v>
      </c>
      <c r="D68" s="139" t="s">
        <v>140</v>
      </c>
      <c r="E68" s="120">
        <f>I67</f>
        <v>-12842.240000000002</v>
      </c>
    </row>
    <row r="69" spans="1:9" x14ac:dyDescent="0.25">
      <c r="C69" s="69"/>
      <c r="D69" s="63"/>
      <c r="E69" s="63"/>
      <c r="F69" s="63"/>
      <c r="G69" s="63"/>
      <c r="H69" s="63"/>
    </row>
    <row r="70" spans="1:9" x14ac:dyDescent="0.25">
      <c r="A70" s="63"/>
      <c r="B70" s="63"/>
      <c r="C70" s="69"/>
      <c r="D70" s="63"/>
      <c r="E70" s="63"/>
      <c r="F70" s="63"/>
      <c r="G70" s="63"/>
      <c r="H70" s="63"/>
    </row>
    <row r="71" spans="1:9" x14ac:dyDescent="0.25">
      <c r="A71" s="63"/>
      <c r="B71" s="63"/>
      <c r="C71" s="69"/>
      <c r="D71" s="63"/>
      <c r="E71" s="63"/>
      <c r="F71" s="63"/>
      <c r="G71" s="63"/>
      <c r="H71" s="63"/>
      <c r="I71" s="63"/>
    </row>
    <row r="72" spans="1:9" x14ac:dyDescent="0.25">
      <c r="A72" s="63"/>
      <c r="B72" s="63"/>
      <c r="C72" s="64"/>
      <c r="D72" s="64"/>
      <c r="E72" s="63"/>
    </row>
  </sheetData>
  <pageMargins left="0.7" right="0.7" top="0.75" bottom="0.75" header="0.3" footer="0.3"/>
  <customProperties>
    <customPr name="_pios_id" r:id="rId1"/>
  </customPropertie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sheetPr>
  <dimension ref="A1:J16"/>
  <sheetViews>
    <sheetView workbookViewId="0"/>
  </sheetViews>
  <sheetFormatPr defaultRowHeight="15" x14ac:dyDescent="0.25"/>
  <cols>
    <col min="3" max="3" width="54.28515625" bestFit="1" customWidth="1"/>
    <col min="4" max="6" width="1.42578125" customWidth="1"/>
    <col min="8" max="8" width="10.5703125" bestFit="1" customWidth="1"/>
    <col min="9" max="9" width="1.42578125" customWidth="1"/>
    <col min="10" max="10" width="59" bestFit="1" customWidth="1"/>
    <col min="11" max="11" width="2.7109375" customWidth="1"/>
  </cols>
  <sheetData>
    <row r="1" spans="1:10" ht="15.75" thickBot="1" x14ac:dyDescent="0.3">
      <c r="A1" s="64" t="s">
        <v>484</v>
      </c>
      <c r="B1" s="63"/>
      <c r="C1" s="63"/>
      <c r="D1" s="63"/>
      <c r="E1" s="63"/>
      <c r="F1" s="63"/>
      <c r="G1" s="63"/>
      <c r="H1" s="63"/>
    </row>
    <row r="2" spans="1:10" ht="15.75" thickBot="1" x14ac:dyDescent="0.3">
      <c r="A2" s="77" t="s">
        <v>529</v>
      </c>
      <c r="B2" s="61"/>
      <c r="C2" s="61"/>
      <c r="D2" s="61"/>
      <c r="E2" s="63"/>
      <c r="F2" s="63"/>
      <c r="G2" s="171" t="s">
        <v>574</v>
      </c>
      <c r="H2" s="172"/>
      <c r="I2" s="172"/>
      <c r="J2" s="173"/>
    </row>
    <row r="3" spans="1:10" x14ac:dyDescent="0.25">
      <c r="A3" s="64" t="s">
        <v>138</v>
      </c>
      <c r="B3" s="64" t="s">
        <v>139</v>
      </c>
      <c r="C3" s="64" t="s">
        <v>140</v>
      </c>
      <c r="D3" s="64"/>
      <c r="E3" s="64"/>
      <c r="F3" s="64"/>
      <c r="G3" s="125" t="s">
        <v>405</v>
      </c>
      <c r="H3" s="126" t="s">
        <v>406</v>
      </c>
      <c r="I3" s="127"/>
      <c r="J3" s="126" t="s">
        <v>530</v>
      </c>
    </row>
    <row r="4" spans="1:10" x14ac:dyDescent="0.25">
      <c r="A4" s="63">
        <v>0</v>
      </c>
      <c r="B4" s="64" t="s">
        <v>389</v>
      </c>
      <c r="C4" s="64" t="s">
        <v>390</v>
      </c>
      <c r="D4" s="64"/>
      <c r="E4" s="64"/>
      <c r="F4" s="64"/>
      <c r="G4" s="128">
        <f>ROUND(H4,0)</f>
        <v>0</v>
      </c>
      <c r="H4" s="129">
        <v>0</v>
      </c>
      <c r="I4" s="127"/>
      <c r="J4" s="127" t="s">
        <v>532</v>
      </c>
    </row>
    <row r="5" spans="1:10" x14ac:dyDescent="0.25">
      <c r="A5" s="63">
        <v>0</v>
      </c>
      <c r="B5" s="63" t="s">
        <v>141</v>
      </c>
      <c r="C5" s="63" t="s">
        <v>162</v>
      </c>
      <c r="G5" s="127">
        <f t="shared" ref="G5:G11" si="0">ROUND(H5,0)</f>
        <v>0</v>
      </c>
      <c r="H5" s="127">
        <f>GC_GL_2016!E33</f>
        <v>0</v>
      </c>
      <c r="I5" s="127"/>
      <c r="J5" s="127" t="s">
        <v>534</v>
      </c>
    </row>
    <row r="6" spans="1:10" x14ac:dyDescent="0.25">
      <c r="A6" s="63">
        <v>0</v>
      </c>
      <c r="B6" s="63" t="s">
        <v>142</v>
      </c>
      <c r="C6" s="63" t="s">
        <v>527</v>
      </c>
      <c r="G6" s="127">
        <f t="shared" si="0"/>
        <v>12001</v>
      </c>
      <c r="H6" s="127">
        <f>GC_GL_2016!E59</f>
        <v>12001.19</v>
      </c>
      <c r="I6" s="127"/>
      <c r="J6" s="127" t="s">
        <v>533</v>
      </c>
    </row>
    <row r="7" spans="1:10" x14ac:dyDescent="0.25">
      <c r="A7" s="63">
        <v>0</v>
      </c>
      <c r="B7" s="63" t="s">
        <v>164</v>
      </c>
      <c r="C7" s="63" t="s">
        <v>526</v>
      </c>
      <c r="G7" s="127">
        <f t="shared" si="0"/>
        <v>-12842</v>
      </c>
      <c r="H7" s="127">
        <f>GC_GL_2016!E68</f>
        <v>-12842.240000000002</v>
      </c>
      <c r="I7" s="127"/>
      <c r="J7" s="127" t="s">
        <v>535</v>
      </c>
    </row>
    <row r="8" spans="1:10" s="63" customFormat="1" x14ac:dyDescent="0.25">
      <c r="C8" s="63" t="s">
        <v>577</v>
      </c>
      <c r="G8" s="127"/>
      <c r="H8" s="127"/>
      <c r="I8" s="127"/>
      <c r="J8" s="127"/>
    </row>
    <row r="9" spans="1:10" s="63" customFormat="1" x14ac:dyDescent="0.25">
      <c r="A9" s="63">
        <v>0</v>
      </c>
      <c r="B9" s="63" t="s">
        <v>562</v>
      </c>
      <c r="C9" s="63" t="s">
        <v>563</v>
      </c>
      <c r="G9" s="127">
        <f t="shared" si="0"/>
        <v>-36247</v>
      </c>
      <c r="H9" s="127">
        <f>GC_GL_2016!E8</f>
        <v>-36246.720000000001</v>
      </c>
      <c r="I9" s="127"/>
      <c r="J9" s="127" t="s">
        <v>575</v>
      </c>
    </row>
    <row r="10" spans="1:10" s="63" customFormat="1" x14ac:dyDescent="0.25">
      <c r="C10" s="63" t="s">
        <v>578</v>
      </c>
      <c r="G10" s="127"/>
      <c r="H10" s="127"/>
      <c r="I10" s="127"/>
      <c r="J10" s="127"/>
    </row>
    <row r="11" spans="1:10" s="63" customFormat="1" x14ac:dyDescent="0.25">
      <c r="A11" s="63">
        <v>0</v>
      </c>
      <c r="B11" s="63" t="s">
        <v>569</v>
      </c>
      <c r="C11" s="63" t="s">
        <v>570</v>
      </c>
      <c r="G11" s="127">
        <f t="shared" si="0"/>
        <v>36247</v>
      </c>
      <c r="H11" s="127">
        <f>GC_GL_2016!E10</f>
        <v>36246.720000000001</v>
      </c>
      <c r="I11" s="127"/>
      <c r="J11" s="127" t="s">
        <v>576</v>
      </c>
    </row>
    <row r="12" spans="1:10" s="63" customFormat="1" x14ac:dyDescent="0.25">
      <c r="G12" s="127"/>
      <c r="H12" s="127"/>
      <c r="I12" s="127"/>
      <c r="J12" s="127"/>
    </row>
    <row r="13" spans="1:10" s="63" customFormat="1" x14ac:dyDescent="0.25">
      <c r="C13" s="63" t="s">
        <v>165</v>
      </c>
      <c r="G13" s="127"/>
      <c r="H13" s="127"/>
      <c r="I13" s="127"/>
      <c r="J13" s="127"/>
    </row>
    <row r="14" spans="1:10" s="63" customFormat="1" x14ac:dyDescent="0.25">
      <c r="A14" s="63">
        <v>0</v>
      </c>
      <c r="B14" s="63" t="s">
        <v>143</v>
      </c>
      <c r="C14" s="63" t="s">
        <v>144</v>
      </c>
      <c r="G14" s="127">
        <f>ROUND(H14,0)</f>
        <v>841</v>
      </c>
      <c r="H14" s="127">
        <f>GC_GL_2016!E26</f>
        <v>841.05</v>
      </c>
      <c r="I14" s="127"/>
      <c r="J14" s="127" t="s">
        <v>536</v>
      </c>
    </row>
    <row r="15" spans="1:10" x14ac:dyDescent="0.25">
      <c r="G15" s="130">
        <f>SUM(G4:G14)</f>
        <v>0</v>
      </c>
      <c r="H15" s="130">
        <f>SUM(H4:H14)</f>
        <v>-2.9558577807620168E-12</v>
      </c>
      <c r="I15" s="127"/>
      <c r="J15" s="127" t="s">
        <v>531</v>
      </c>
    </row>
    <row r="16" spans="1:10" x14ac:dyDescent="0.25">
      <c r="G16" s="127"/>
      <c r="H16" s="127"/>
      <c r="I16" s="127"/>
      <c r="J16" s="127"/>
    </row>
  </sheetData>
  <mergeCells count="1">
    <mergeCell ref="G2:J2"/>
  </mergeCells>
  <pageMargins left="0.7" right="0.7" top="0.75" bottom="0.75" header="0.3" footer="0.3"/>
  <customProperties>
    <customPr name="_pios_id" r:id="rId1"/>
  </customPropertie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53"/>
  <sheetViews>
    <sheetView workbookViewId="0">
      <selection activeCell="E46" sqref="E46"/>
    </sheetView>
  </sheetViews>
  <sheetFormatPr defaultRowHeight="15" outlineLevelRow="1" x14ac:dyDescent="0.25"/>
  <cols>
    <col min="1" max="1" width="10.7109375" bestFit="1" customWidth="1"/>
    <col min="2" max="2" width="14.85546875" bestFit="1" customWidth="1"/>
    <col min="4" max="4" width="10.5703125" bestFit="1" customWidth="1"/>
    <col min="5" max="5" width="36.5703125" bestFit="1" customWidth="1"/>
    <col min="9" max="9" width="10.7109375" bestFit="1" customWidth="1"/>
  </cols>
  <sheetData>
    <row r="1" spans="1:9" s="63" customFormat="1" x14ac:dyDescent="0.25">
      <c r="A1" s="68">
        <v>2017</v>
      </c>
    </row>
    <row r="2" spans="1:9" s="63" customFormat="1" x14ac:dyDescent="0.25"/>
    <row r="3" spans="1:9" s="63" customFormat="1" x14ac:dyDescent="0.25">
      <c r="A3" s="63" t="s">
        <v>152</v>
      </c>
      <c r="D3" s="73">
        <f>D12</f>
        <v>0</v>
      </c>
    </row>
    <row r="4" spans="1:9" s="63" customFormat="1" hidden="1" outlineLevel="1" x14ac:dyDescent="0.25"/>
    <row r="5" spans="1:9" s="63" customFormat="1" hidden="1" outlineLevel="1" x14ac:dyDescent="0.25">
      <c r="A5" s="63" t="s">
        <v>153</v>
      </c>
      <c r="D5" s="16">
        <v>0</v>
      </c>
    </row>
    <row r="6" spans="1:9" s="63" customFormat="1" hidden="1" outlineLevel="1" x14ac:dyDescent="0.25">
      <c r="A6" s="63" t="s">
        <v>154</v>
      </c>
    </row>
    <row r="7" spans="1:9" s="63" customFormat="1" hidden="1" outlineLevel="1" x14ac:dyDescent="0.25">
      <c r="A7" s="63" t="s">
        <v>145</v>
      </c>
      <c r="B7" s="63" t="s">
        <v>155</v>
      </c>
      <c r="C7" s="63" t="s">
        <v>156</v>
      </c>
      <c r="D7" s="63" t="s">
        <v>157</v>
      </c>
    </row>
    <row r="8" spans="1:9" s="63" customFormat="1" hidden="1" outlineLevel="1" x14ac:dyDescent="0.25">
      <c r="A8" s="69">
        <v>42736</v>
      </c>
      <c r="B8" s="63">
        <v>1</v>
      </c>
      <c r="C8" s="63">
        <f>GC_Bank_Statements!I42</f>
        <v>12001.19</v>
      </c>
      <c r="D8" s="18">
        <f>C8*B8/$B$10</f>
        <v>32.879972602739727</v>
      </c>
      <c r="I8" s="69"/>
    </row>
    <row r="9" spans="1:9" s="63" customFormat="1" hidden="1" outlineLevel="1" x14ac:dyDescent="0.25">
      <c r="A9" s="69">
        <v>43100</v>
      </c>
      <c r="B9" s="70">
        <f>A9-A8</f>
        <v>364</v>
      </c>
      <c r="C9" s="63">
        <f>GC_Bank_Statements!I93</f>
        <v>405.59000000000003</v>
      </c>
      <c r="D9" s="18">
        <f>C8*B9/$B$10</f>
        <v>11968.310027397261</v>
      </c>
      <c r="E9" s="64"/>
      <c r="G9" s="64"/>
    </row>
    <row r="10" spans="1:9" hidden="1" outlineLevel="1" x14ac:dyDescent="0.25">
      <c r="A10" s="63" t="s">
        <v>158</v>
      </c>
      <c r="B10" s="71">
        <f>SUM(B8:B9)</f>
        <v>365</v>
      </c>
      <c r="C10" s="63"/>
      <c r="D10" s="18">
        <f>SUM(D8:D9)</f>
        <v>12001.19</v>
      </c>
      <c r="E10" s="63"/>
      <c r="F10" s="63"/>
      <c r="G10" s="63"/>
      <c r="H10" s="63"/>
    </row>
    <row r="11" spans="1:9" hidden="1" outlineLevel="1" x14ac:dyDescent="0.25">
      <c r="A11" s="63"/>
      <c r="B11" s="63"/>
      <c r="C11" s="63"/>
      <c r="D11" s="63"/>
      <c r="E11" s="63"/>
      <c r="F11" s="63"/>
      <c r="G11" s="63"/>
      <c r="H11" s="63"/>
    </row>
    <row r="12" spans="1:9" hidden="1" outlineLevel="1" x14ac:dyDescent="0.25">
      <c r="A12" s="63" t="s">
        <v>159</v>
      </c>
      <c r="B12" s="63"/>
      <c r="C12" s="63"/>
      <c r="D12" s="72">
        <f>D5/D10</f>
        <v>0</v>
      </c>
      <c r="E12" s="63"/>
      <c r="F12" s="63"/>
      <c r="G12" s="63"/>
      <c r="H12" s="63"/>
    </row>
    <row r="13" spans="1:9" collapsed="1" x14ac:dyDescent="0.25">
      <c r="A13" s="63"/>
      <c r="B13" s="63"/>
      <c r="C13" s="63"/>
      <c r="D13" s="63"/>
      <c r="E13" s="63"/>
      <c r="F13" s="63"/>
      <c r="G13" s="63"/>
      <c r="H13" s="63"/>
    </row>
    <row r="14" spans="1:9" x14ac:dyDescent="0.25">
      <c r="A14" s="63" t="s">
        <v>169</v>
      </c>
      <c r="B14" s="63"/>
      <c r="C14" s="63"/>
      <c r="D14" s="63">
        <f>SUM(D16:D18)</f>
        <v>18000</v>
      </c>
      <c r="E14" s="63"/>
      <c r="F14" s="63"/>
      <c r="G14" s="63"/>
      <c r="H14" s="63"/>
    </row>
    <row r="15" spans="1:9" outlineLevel="1" x14ac:dyDescent="0.25">
      <c r="A15" s="63"/>
      <c r="B15" s="63"/>
      <c r="C15" s="63"/>
      <c r="D15" s="63"/>
      <c r="E15" s="63"/>
      <c r="F15" s="63"/>
      <c r="G15" s="63"/>
      <c r="H15" s="63"/>
    </row>
    <row r="16" spans="1:9" outlineLevel="1" x14ac:dyDescent="0.25">
      <c r="A16" s="63" t="s">
        <v>170</v>
      </c>
      <c r="B16" s="63"/>
      <c r="C16" s="63"/>
      <c r="D16" s="63">
        <f>SOFP!J9</f>
        <v>0</v>
      </c>
      <c r="E16" s="63"/>
      <c r="F16" s="63"/>
      <c r="G16" s="63"/>
      <c r="H16" s="63"/>
    </row>
    <row r="17" spans="1:8" outlineLevel="1" x14ac:dyDescent="0.25">
      <c r="A17" s="63" t="s">
        <v>61</v>
      </c>
      <c r="B17" s="63"/>
      <c r="C17" s="63"/>
      <c r="D17" s="63">
        <f>-GC_TB_2017!G9</f>
        <v>18000</v>
      </c>
      <c r="E17" s="63"/>
      <c r="F17" s="63"/>
      <c r="G17" s="63"/>
      <c r="H17" s="63"/>
    </row>
    <row r="18" spans="1:8" outlineLevel="1" x14ac:dyDescent="0.25">
      <c r="A18" s="63" t="s">
        <v>171</v>
      </c>
      <c r="B18" s="63"/>
      <c r="C18" s="63"/>
      <c r="D18" s="63">
        <f>-SOFP!H9</f>
        <v>0</v>
      </c>
      <c r="E18" s="63"/>
      <c r="F18" s="63"/>
      <c r="G18" s="63"/>
      <c r="H18" s="63"/>
    </row>
    <row r="19" spans="1:8" x14ac:dyDescent="0.25">
      <c r="A19" s="63"/>
      <c r="B19" s="63"/>
      <c r="C19" s="63"/>
      <c r="D19" s="63"/>
      <c r="E19" s="63"/>
      <c r="F19" s="63"/>
      <c r="G19" s="63"/>
      <c r="H19" s="63"/>
    </row>
    <row r="20" spans="1:8" x14ac:dyDescent="0.25">
      <c r="A20" s="63" t="s">
        <v>74</v>
      </c>
      <c r="B20" s="63"/>
      <c r="C20" s="63"/>
      <c r="D20" s="63">
        <f>SUM(D22:D26)</f>
        <v>-29594</v>
      </c>
      <c r="E20" s="63"/>
      <c r="F20" s="63"/>
      <c r="G20" s="63"/>
      <c r="H20" s="63"/>
    </row>
    <row r="21" spans="1:8" outlineLevel="1" x14ac:dyDescent="0.25">
      <c r="A21" s="63"/>
      <c r="B21" s="63"/>
      <c r="C21" s="63"/>
      <c r="D21" s="63"/>
      <c r="E21" s="63"/>
      <c r="F21" s="63"/>
      <c r="G21" s="63"/>
      <c r="H21" s="63"/>
    </row>
    <row r="22" spans="1:8" outlineLevel="1" x14ac:dyDescent="0.25">
      <c r="A22" s="63" t="s">
        <v>172</v>
      </c>
      <c r="B22" s="63"/>
      <c r="C22" s="63"/>
      <c r="D22" s="63">
        <f>-SOFP!J22</f>
        <v>-12842</v>
      </c>
      <c r="E22" s="63"/>
      <c r="F22" s="63"/>
      <c r="G22" s="63"/>
      <c r="H22" s="63"/>
    </row>
    <row r="23" spans="1:8" outlineLevel="1" x14ac:dyDescent="0.25">
      <c r="A23" s="63" t="s">
        <v>173</v>
      </c>
      <c r="B23" s="63"/>
      <c r="C23" s="63"/>
      <c r="D23" s="63">
        <f>-GC_TB_2017!G11</f>
        <v>-18000</v>
      </c>
      <c r="E23" s="63"/>
      <c r="F23" s="63"/>
      <c r="G23" s="63"/>
      <c r="H23" s="63"/>
    </row>
    <row r="24" spans="1:8" outlineLevel="1" x14ac:dyDescent="0.25">
      <c r="A24" s="63" t="s">
        <v>174</v>
      </c>
      <c r="B24" s="63"/>
      <c r="C24" s="63"/>
      <c r="D24" s="63">
        <f>-GC_TB_2017!G14-GC_TB_2017!G15+D27</f>
        <v>-1662</v>
      </c>
      <c r="E24" s="63"/>
      <c r="F24" s="63"/>
      <c r="G24" s="63"/>
      <c r="H24" s="63"/>
    </row>
    <row r="25" spans="1:8" s="63" customFormat="1" outlineLevel="1" x14ac:dyDescent="0.25">
      <c r="A25" s="63" t="s">
        <v>395</v>
      </c>
      <c r="D25" s="63">
        <v>0</v>
      </c>
    </row>
    <row r="26" spans="1:8" outlineLevel="1" x14ac:dyDescent="0.25">
      <c r="A26" s="63" t="s">
        <v>175</v>
      </c>
      <c r="B26" s="63"/>
      <c r="C26" s="63"/>
      <c r="D26" s="63">
        <f>SOFP!H22</f>
        <v>2910</v>
      </c>
      <c r="E26" s="63"/>
      <c r="F26" s="63"/>
      <c r="G26" s="63"/>
      <c r="H26" s="63"/>
    </row>
    <row r="27" spans="1:8" x14ac:dyDescent="0.25">
      <c r="A27" s="63"/>
      <c r="B27" s="63"/>
      <c r="C27" s="63"/>
      <c r="D27" s="63">
        <v>1</v>
      </c>
      <c r="E27" s="63" t="s">
        <v>598</v>
      </c>
      <c r="F27" s="63"/>
      <c r="G27" s="63"/>
      <c r="H27" s="63"/>
    </row>
    <row r="28" spans="1:8" x14ac:dyDescent="0.25">
      <c r="A28" s="63"/>
      <c r="B28" s="63"/>
      <c r="C28" s="63"/>
      <c r="D28" s="63"/>
      <c r="E28" s="63"/>
      <c r="F28" s="63"/>
      <c r="G28" s="63"/>
      <c r="H28" s="63"/>
    </row>
    <row r="29" spans="1:8" x14ac:dyDescent="0.25">
      <c r="A29" s="68">
        <v>2016</v>
      </c>
    </row>
    <row r="31" spans="1:8" x14ac:dyDescent="0.25">
      <c r="A31" t="s">
        <v>152</v>
      </c>
      <c r="D31" s="25">
        <f>D40</f>
        <v>0</v>
      </c>
    </row>
    <row r="32" spans="1:8" hidden="1" outlineLevel="1" x14ac:dyDescent="0.25"/>
    <row r="33" spans="1:4" hidden="1" outlineLevel="1" x14ac:dyDescent="0.25">
      <c r="A33" t="s">
        <v>153</v>
      </c>
      <c r="D33" s="84">
        <v>0</v>
      </c>
    </row>
    <row r="34" spans="1:4" hidden="1" outlineLevel="1" x14ac:dyDescent="0.25">
      <c r="A34" t="s">
        <v>154</v>
      </c>
    </row>
    <row r="35" spans="1:4" hidden="1" outlineLevel="1" x14ac:dyDescent="0.25">
      <c r="A35" t="s">
        <v>145</v>
      </c>
      <c r="B35" t="s">
        <v>155</v>
      </c>
      <c r="C35" t="s">
        <v>156</v>
      </c>
      <c r="D35" t="s">
        <v>157</v>
      </c>
    </row>
    <row r="36" spans="1:4" hidden="1" outlineLevel="1" x14ac:dyDescent="0.25">
      <c r="A36" s="69">
        <v>42370</v>
      </c>
      <c r="B36">
        <v>1</v>
      </c>
      <c r="C36">
        <v>0</v>
      </c>
      <c r="D36" s="18">
        <f>C36/$B$38*B36</f>
        <v>0</v>
      </c>
    </row>
    <row r="37" spans="1:4" hidden="1" outlineLevel="1" x14ac:dyDescent="0.25">
      <c r="A37" s="69">
        <v>42735</v>
      </c>
      <c r="B37">
        <f>A37-A36</f>
        <v>365</v>
      </c>
      <c r="C37">
        <f>GC_Bank_Statements!I42</f>
        <v>12001.19</v>
      </c>
      <c r="D37" s="18">
        <f>C37/$B$38*B37</f>
        <v>11968.39986338798</v>
      </c>
    </row>
    <row r="38" spans="1:4" hidden="1" outlineLevel="1" x14ac:dyDescent="0.25">
      <c r="A38" t="s">
        <v>158</v>
      </c>
      <c r="B38">
        <f>SUM(B36:B37)</f>
        <v>366</v>
      </c>
      <c r="D38" s="18">
        <f>SUM(D36:D37)</f>
        <v>11968.39986338798</v>
      </c>
    </row>
    <row r="39" spans="1:4" hidden="1" outlineLevel="1" x14ac:dyDescent="0.25"/>
    <row r="40" spans="1:4" hidden="1" outlineLevel="1" x14ac:dyDescent="0.25">
      <c r="A40" t="s">
        <v>159</v>
      </c>
      <c r="D40" s="19">
        <f>D33/D38*365/B38</f>
        <v>0</v>
      </c>
    </row>
    <row r="41" spans="1:4" collapsed="1" x14ac:dyDescent="0.25"/>
    <row r="42" spans="1:4" x14ac:dyDescent="0.25">
      <c r="A42" t="s">
        <v>169</v>
      </c>
      <c r="D42">
        <f>SUM(D44:D46)</f>
        <v>36247</v>
      </c>
    </row>
    <row r="44" spans="1:4" x14ac:dyDescent="0.25">
      <c r="A44" t="s">
        <v>170</v>
      </c>
      <c r="D44">
        <v>0</v>
      </c>
    </row>
    <row r="45" spans="1:4" x14ac:dyDescent="0.25">
      <c r="A45" t="s">
        <v>61</v>
      </c>
      <c r="D45">
        <f>-GC_TB_2016!G9</f>
        <v>36247</v>
      </c>
    </row>
    <row r="46" spans="1:4" x14ac:dyDescent="0.25">
      <c r="A46" t="s">
        <v>171</v>
      </c>
      <c r="D46">
        <f>-GC_TB_2016!G5</f>
        <v>0</v>
      </c>
    </row>
    <row r="48" spans="1:4" x14ac:dyDescent="0.25">
      <c r="A48" t="s">
        <v>74</v>
      </c>
      <c r="D48">
        <f>-SUM(D50:D53)</f>
        <v>-24245.530000000002</v>
      </c>
    </row>
    <row r="50" spans="1:4" x14ac:dyDescent="0.25">
      <c r="A50" t="s">
        <v>172</v>
      </c>
      <c r="D50">
        <v>0</v>
      </c>
    </row>
    <row r="51" spans="1:4" x14ac:dyDescent="0.25">
      <c r="A51" t="s">
        <v>173</v>
      </c>
      <c r="D51">
        <f>GC_TB_2016!H11</f>
        <v>36246.720000000001</v>
      </c>
    </row>
    <row r="52" spans="1:4" x14ac:dyDescent="0.25">
      <c r="A52" t="s">
        <v>174</v>
      </c>
      <c r="D52" s="85">
        <f>GC_TB_2016!H14</f>
        <v>841.05</v>
      </c>
    </row>
    <row r="53" spans="1:4" x14ac:dyDescent="0.25">
      <c r="A53" t="s">
        <v>175</v>
      </c>
      <c r="D53">
        <f>GC_TB_2016!H7</f>
        <v>-12842.240000000002</v>
      </c>
    </row>
  </sheetData>
  <pageMargins left="0.7" right="0.7" top="0.75" bottom="0.75" header="0.3" footer="0.3"/>
  <pageSetup paperSize="9" orientation="portrait" r:id="rId1"/>
  <customProperties>
    <customPr name="_pios_id" r:id="rId2"/>
  </customPropertie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A205"/>
  <sheetViews>
    <sheetView topLeftCell="A49" workbookViewId="0">
      <selection activeCell="F71" sqref="F71"/>
    </sheetView>
  </sheetViews>
  <sheetFormatPr defaultRowHeight="15" x14ac:dyDescent="0.25"/>
  <sheetData>
    <row r="6" spans="1:1" x14ac:dyDescent="0.25">
      <c r="A6" t="s">
        <v>194</v>
      </c>
    </row>
    <row r="7" spans="1:1" x14ac:dyDescent="0.25">
      <c r="A7" t="s">
        <v>373</v>
      </c>
    </row>
    <row r="8" spans="1:1" x14ac:dyDescent="0.25">
      <c r="A8" t="s">
        <v>195</v>
      </c>
    </row>
    <row r="9" spans="1:1" x14ac:dyDescent="0.25">
      <c r="A9" t="s">
        <v>196</v>
      </c>
    </row>
    <row r="10" spans="1:1" x14ac:dyDescent="0.25">
      <c r="A10" t="s">
        <v>197</v>
      </c>
    </row>
    <row r="12" spans="1:1" x14ac:dyDescent="0.25">
      <c r="A12" t="s">
        <v>198</v>
      </c>
    </row>
    <row r="13" spans="1:1" x14ac:dyDescent="0.25">
      <c r="A13" t="s">
        <v>374</v>
      </c>
    </row>
    <row r="14" spans="1:1" x14ac:dyDescent="0.25">
      <c r="A14" t="s">
        <v>199</v>
      </c>
    </row>
    <row r="15" spans="1:1" x14ac:dyDescent="0.25">
      <c r="A15" t="s">
        <v>200</v>
      </c>
    </row>
    <row r="16" spans="1:1" x14ac:dyDescent="0.25">
      <c r="A16" t="s">
        <v>201</v>
      </c>
    </row>
    <row r="17" spans="1:1" x14ac:dyDescent="0.25">
      <c r="A17" t="s">
        <v>202</v>
      </c>
    </row>
    <row r="20" spans="1:1" x14ac:dyDescent="0.25">
      <c r="A20" t="s">
        <v>203</v>
      </c>
    </row>
    <row r="21" spans="1:1" x14ac:dyDescent="0.25">
      <c r="A21" t="s">
        <v>204</v>
      </c>
    </row>
    <row r="22" spans="1:1" x14ac:dyDescent="0.25">
      <c r="A22" t="s">
        <v>205</v>
      </c>
    </row>
    <row r="23" spans="1:1" x14ac:dyDescent="0.25">
      <c r="A23" t="s">
        <v>206</v>
      </c>
    </row>
    <row r="24" spans="1:1" x14ac:dyDescent="0.25">
      <c r="A24" t="s">
        <v>207</v>
      </c>
    </row>
    <row r="25" spans="1:1" x14ac:dyDescent="0.25">
      <c r="A25" t="s">
        <v>208</v>
      </c>
    </row>
    <row r="28" spans="1:1" x14ac:dyDescent="0.25">
      <c r="A28" t="s">
        <v>209</v>
      </c>
    </row>
    <row r="29" spans="1:1" x14ac:dyDescent="0.25">
      <c r="A29" t="s">
        <v>210</v>
      </c>
    </row>
    <row r="30" spans="1:1" x14ac:dyDescent="0.25">
      <c r="A30" t="s">
        <v>211</v>
      </c>
    </row>
    <row r="31" spans="1:1" x14ac:dyDescent="0.25">
      <c r="A31" t="s">
        <v>212</v>
      </c>
    </row>
    <row r="33" spans="1:1" x14ac:dyDescent="0.25">
      <c r="A33" t="s">
        <v>213</v>
      </c>
    </row>
    <row r="34" spans="1:1" x14ac:dyDescent="0.25">
      <c r="A34" t="s">
        <v>214</v>
      </c>
    </row>
    <row r="35" spans="1:1" x14ac:dyDescent="0.25">
      <c r="A35" t="s">
        <v>215</v>
      </c>
    </row>
    <row r="36" spans="1:1" x14ac:dyDescent="0.25">
      <c r="A36" t="s">
        <v>216</v>
      </c>
    </row>
    <row r="37" spans="1:1" x14ac:dyDescent="0.25">
      <c r="A37" t="s">
        <v>217</v>
      </c>
    </row>
    <row r="38" spans="1:1" x14ac:dyDescent="0.25">
      <c r="A38" t="s">
        <v>218</v>
      </c>
    </row>
    <row r="39" spans="1:1" x14ac:dyDescent="0.25">
      <c r="A39" t="s">
        <v>219</v>
      </c>
    </row>
    <row r="40" spans="1:1" x14ac:dyDescent="0.25">
      <c r="A40" t="s">
        <v>220</v>
      </c>
    </row>
    <row r="41" spans="1:1" x14ac:dyDescent="0.25">
      <c r="A41" t="s">
        <v>221</v>
      </c>
    </row>
    <row r="42" spans="1:1" x14ac:dyDescent="0.25">
      <c r="A42" t="s">
        <v>222</v>
      </c>
    </row>
    <row r="43" spans="1:1" x14ac:dyDescent="0.25">
      <c r="A43" t="s">
        <v>223</v>
      </c>
    </row>
    <row r="44" spans="1:1" x14ac:dyDescent="0.25">
      <c r="A44" t="s">
        <v>224</v>
      </c>
    </row>
    <row r="45" spans="1:1" x14ac:dyDescent="0.25">
      <c r="A45" t="s">
        <v>225</v>
      </c>
    </row>
    <row r="46" spans="1:1" x14ac:dyDescent="0.25">
      <c r="A46" t="s">
        <v>226</v>
      </c>
    </row>
    <row r="47" spans="1:1" x14ac:dyDescent="0.25">
      <c r="A47" t="s">
        <v>227</v>
      </c>
    </row>
    <row r="48" spans="1:1" x14ac:dyDescent="0.25">
      <c r="A48" t="s">
        <v>228</v>
      </c>
    </row>
    <row r="49" spans="1:1" x14ac:dyDescent="0.25">
      <c r="A49" t="s">
        <v>229</v>
      </c>
    </row>
    <row r="50" spans="1:1" x14ac:dyDescent="0.25">
      <c r="A50" t="s">
        <v>230</v>
      </c>
    </row>
    <row r="51" spans="1:1" x14ac:dyDescent="0.25">
      <c r="A51" t="s">
        <v>231</v>
      </c>
    </row>
    <row r="52" spans="1:1" x14ac:dyDescent="0.25">
      <c r="A52" t="s">
        <v>232</v>
      </c>
    </row>
    <row r="53" spans="1:1" x14ac:dyDescent="0.25">
      <c r="A53" t="s">
        <v>233</v>
      </c>
    </row>
    <row r="54" spans="1:1" x14ac:dyDescent="0.25">
      <c r="A54" t="s">
        <v>234</v>
      </c>
    </row>
    <row r="55" spans="1:1" x14ac:dyDescent="0.25">
      <c r="A55" t="s">
        <v>235</v>
      </c>
    </row>
    <row r="56" spans="1:1" x14ac:dyDescent="0.25">
      <c r="A56" t="s">
        <v>236</v>
      </c>
    </row>
    <row r="57" spans="1:1" x14ac:dyDescent="0.25">
      <c r="A57" t="s">
        <v>237</v>
      </c>
    </row>
    <row r="58" spans="1:1" x14ac:dyDescent="0.25">
      <c r="A58" t="s">
        <v>238</v>
      </c>
    </row>
    <row r="59" spans="1:1" x14ac:dyDescent="0.25">
      <c r="A59" t="s">
        <v>239</v>
      </c>
    </row>
    <row r="60" spans="1:1" x14ac:dyDescent="0.25">
      <c r="A60" t="s">
        <v>240</v>
      </c>
    </row>
    <row r="61" spans="1:1" x14ac:dyDescent="0.25">
      <c r="A61" t="s">
        <v>241</v>
      </c>
    </row>
    <row r="62" spans="1:1" x14ac:dyDescent="0.25">
      <c r="A62" t="s">
        <v>242</v>
      </c>
    </row>
    <row r="63" spans="1:1" x14ac:dyDescent="0.25">
      <c r="A63" t="s">
        <v>243</v>
      </c>
    </row>
    <row r="64" spans="1:1" x14ac:dyDescent="0.25">
      <c r="A64" t="s">
        <v>244</v>
      </c>
    </row>
    <row r="65" spans="1:1" x14ac:dyDescent="0.25">
      <c r="A65" t="s">
        <v>245</v>
      </c>
    </row>
    <row r="66" spans="1:1" x14ac:dyDescent="0.25">
      <c r="A66" t="s">
        <v>246</v>
      </c>
    </row>
    <row r="67" spans="1:1" x14ac:dyDescent="0.25">
      <c r="A67" t="s">
        <v>247</v>
      </c>
    </row>
    <row r="68" spans="1:1" x14ac:dyDescent="0.25">
      <c r="A68" t="s">
        <v>248</v>
      </c>
    </row>
    <row r="71" spans="1:1" x14ac:dyDescent="0.25">
      <c r="A71" t="s">
        <v>249</v>
      </c>
    </row>
    <row r="72" spans="1:1" x14ac:dyDescent="0.25">
      <c r="A72" t="s">
        <v>250</v>
      </c>
    </row>
    <row r="73" spans="1:1" x14ac:dyDescent="0.25">
      <c r="A73" t="s">
        <v>251</v>
      </c>
    </row>
    <row r="74" spans="1:1" x14ac:dyDescent="0.25">
      <c r="A74" t="s">
        <v>252</v>
      </c>
    </row>
    <row r="75" spans="1:1" x14ac:dyDescent="0.25">
      <c r="A75" t="s">
        <v>253</v>
      </c>
    </row>
    <row r="76" spans="1:1" x14ac:dyDescent="0.25">
      <c r="A76" t="s">
        <v>254</v>
      </c>
    </row>
    <row r="77" spans="1:1" x14ac:dyDescent="0.25">
      <c r="A77" t="s">
        <v>255</v>
      </c>
    </row>
    <row r="78" spans="1:1" x14ac:dyDescent="0.25">
      <c r="A78" t="s">
        <v>256</v>
      </c>
    </row>
    <row r="79" spans="1:1" x14ac:dyDescent="0.25">
      <c r="A79" t="s">
        <v>257</v>
      </c>
    </row>
    <row r="80" spans="1:1" x14ac:dyDescent="0.25">
      <c r="A80" t="s">
        <v>258</v>
      </c>
    </row>
    <row r="81" spans="1:1" x14ac:dyDescent="0.25">
      <c r="A81" t="s">
        <v>259</v>
      </c>
    </row>
    <row r="82" spans="1:1" x14ac:dyDescent="0.25">
      <c r="A82" t="s">
        <v>260</v>
      </c>
    </row>
    <row r="83" spans="1:1" x14ac:dyDescent="0.25">
      <c r="A83" t="s">
        <v>261</v>
      </c>
    </row>
    <row r="84" spans="1:1" x14ac:dyDescent="0.25">
      <c r="A84" t="s">
        <v>262</v>
      </c>
    </row>
    <row r="85" spans="1:1" x14ac:dyDescent="0.25">
      <c r="A85" t="s">
        <v>263</v>
      </c>
    </row>
    <row r="86" spans="1:1" x14ac:dyDescent="0.25">
      <c r="A86" t="s">
        <v>264</v>
      </c>
    </row>
    <row r="87" spans="1:1" x14ac:dyDescent="0.25">
      <c r="A87" t="s">
        <v>265</v>
      </c>
    </row>
    <row r="88" spans="1:1" x14ac:dyDescent="0.25">
      <c r="A88" t="s">
        <v>266</v>
      </c>
    </row>
    <row r="89" spans="1:1" x14ac:dyDescent="0.25">
      <c r="A89" t="s">
        <v>267</v>
      </c>
    </row>
    <row r="90" spans="1:1" x14ac:dyDescent="0.25">
      <c r="A90" t="s">
        <v>268</v>
      </c>
    </row>
    <row r="91" spans="1:1" x14ac:dyDescent="0.25">
      <c r="A91" t="s">
        <v>269</v>
      </c>
    </row>
    <row r="92" spans="1:1" x14ac:dyDescent="0.25">
      <c r="A92" t="s">
        <v>270</v>
      </c>
    </row>
    <row r="93" spans="1:1" x14ac:dyDescent="0.25">
      <c r="A93" t="s">
        <v>271</v>
      </c>
    </row>
    <row r="94" spans="1:1" x14ac:dyDescent="0.25">
      <c r="A94" t="s">
        <v>272</v>
      </c>
    </row>
    <row r="95" spans="1:1" x14ac:dyDescent="0.25">
      <c r="A95" t="s">
        <v>273</v>
      </c>
    </row>
    <row r="99" spans="1:1" x14ac:dyDescent="0.25">
      <c r="A99" t="s">
        <v>274</v>
      </c>
    </row>
    <row r="100" spans="1:1" x14ac:dyDescent="0.25">
      <c r="A100" t="s">
        <v>275</v>
      </c>
    </row>
    <row r="101" spans="1:1" x14ac:dyDescent="0.25">
      <c r="A101" t="s">
        <v>276</v>
      </c>
    </row>
    <row r="102" spans="1:1" x14ac:dyDescent="0.25">
      <c r="A102" t="s">
        <v>277</v>
      </c>
    </row>
    <row r="103" spans="1:1" x14ac:dyDescent="0.25">
      <c r="A103" t="s">
        <v>278</v>
      </c>
    </row>
    <row r="104" spans="1:1" x14ac:dyDescent="0.25">
      <c r="A104" t="s">
        <v>279</v>
      </c>
    </row>
    <row r="105" spans="1:1" x14ac:dyDescent="0.25">
      <c r="A105" t="s">
        <v>280</v>
      </c>
    </row>
    <row r="106" spans="1:1" x14ac:dyDescent="0.25">
      <c r="A106" t="s">
        <v>281</v>
      </c>
    </row>
    <row r="107" spans="1:1" x14ac:dyDescent="0.25">
      <c r="A107" t="s">
        <v>282</v>
      </c>
    </row>
    <row r="108" spans="1:1" x14ac:dyDescent="0.25">
      <c r="A108" t="s">
        <v>283</v>
      </c>
    </row>
    <row r="109" spans="1:1" x14ac:dyDescent="0.25">
      <c r="A109" t="s">
        <v>284</v>
      </c>
    </row>
    <row r="110" spans="1:1" x14ac:dyDescent="0.25">
      <c r="A110" t="s">
        <v>285</v>
      </c>
    </row>
    <row r="111" spans="1:1" x14ac:dyDescent="0.25">
      <c r="A111" t="s">
        <v>286</v>
      </c>
    </row>
    <row r="112" spans="1:1" x14ac:dyDescent="0.25">
      <c r="A112" t="s">
        <v>287</v>
      </c>
    </row>
    <row r="113" spans="1:1" x14ac:dyDescent="0.25">
      <c r="A113" t="s">
        <v>288</v>
      </c>
    </row>
    <row r="114" spans="1:1" x14ac:dyDescent="0.25">
      <c r="A114" t="s">
        <v>289</v>
      </c>
    </row>
    <row r="115" spans="1:1" x14ac:dyDescent="0.25">
      <c r="A115" t="s">
        <v>290</v>
      </c>
    </row>
    <row r="116" spans="1:1" x14ac:dyDescent="0.25">
      <c r="A116" t="s">
        <v>291</v>
      </c>
    </row>
    <row r="117" spans="1:1" x14ac:dyDescent="0.25">
      <c r="A117" t="s">
        <v>292</v>
      </c>
    </row>
    <row r="118" spans="1:1" x14ac:dyDescent="0.25">
      <c r="A118" t="s">
        <v>56</v>
      </c>
    </row>
    <row r="119" spans="1:1" x14ac:dyDescent="0.25">
      <c r="A119" t="s">
        <v>293</v>
      </c>
    </row>
    <row r="120" spans="1:1" x14ac:dyDescent="0.25">
      <c r="A120" t="s">
        <v>294</v>
      </c>
    </row>
    <row r="121" spans="1:1" x14ac:dyDescent="0.25">
      <c r="A121" t="s">
        <v>295</v>
      </c>
    </row>
    <row r="122" spans="1:1" x14ac:dyDescent="0.25">
      <c r="A122" t="s">
        <v>296</v>
      </c>
    </row>
    <row r="123" spans="1:1" x14ac:dyDescent="0.25">
      <c r="A123" t="s">
        <v>297</v>
      </c>
    </row>
    <row r="124" spans="1:1" x14ac:dyDescent="0.25">
      <c r="A124" t="s">
        <v>298</v>
      </c>
    </row>
    <row r="125" spans="1:1" x14ac:dyDescent="0.25">
      <c r="A125" t="s">
        <v>299</v>
      </c>
    </row>
    <row r="126" spans="1:1" x14ac:dyDescent="0.25">
      <c r="A126" t="s">
        <v>376</v>
      </c>
    </row>
    <row r="127" spans="1:1" s="21" customFormat="1" x14ac:dyDescent="0.25"/>
    <row r="128" spans="1:1" x14ac:dyDescent="0.25">
      <c r="A128" t="s">
        <v>377</v>
      </c>
    </row>
    <row r="130" spans="1:1" x14ac:dyDescent="0.25">
      <c r="A130" t="s">
        <v>300</v>
      </c>
    </row>
    <row r="131" spans="1:1" x14ac:dyDescent="0.25">
      <c r="A131" t="s">
        <v>378</v>
      </c>
    </row>
    <row r="132" spans="1:1" x14ac:dyDescent="0.25">
      <c r="A132" t="s">
        <v>301</v>
      </c>
    </row>
    <row r="133" spans="1:1" x14ac:dyDescent="0.25">
      <c r="A133" t="s">
        <v>302</v>
      </c>
    </row>
    <row r="134" spans="1:1" x14ac:dyDescent="0.25">
      <c r="A134" t="s">
        <v>303</v>
      </c>
    </row>
    <row r="135" spans="1:1" x14ac:dyDescent="0.25">
      <c r="A135" t="s">
        <v>304</v>
      </c>
    </row>
    <row r="136" spans="1:1" x14ac:dyDescent="0.25">
      <c r="A136" t="s">
        <v>305</v>
      </c>
    </row>
    <row r="137" spans="1:1" x14ac:dyDescent="0.25">
      <c r="A137" t="s">
        <v>306</v>
      </c>
    </row>
    <row r="138" spans="1:1" s="21" customFormat="1" x14ac:dyDescent="0.25"/>
    <row r="139" spans="1:1" x14ac:dyDescent="0.25">
      <c r="A139" t="s">
        <v>379</v>
      </c>
    </row>
    <row r="141" spans="1:1" x14ac:dyDescent="0.25">
      <c r="A141" t="s">
        <v>307</v>
      </c>
    </row>
    <row r="142" spans="1:1" x14ac:dyDescent="0.25">
      <c r="A142" t="s">
        <v>384</v>
      </c>
    </row>
    <row r="143" spans="1:1" x14ac:dyDescent="0.25">
      <c r="A143" t="s">
        <v>308</v>
      </c>
    </row>
    <row r="144" spans="1:1" x14ac:dyDescent="0.25">
      <c r="A144" t="s">
        <v>309</v>
      </c>
    </row>
    <row r="145" spans="1:1" x14ac:dyDescent="0.25">
      <c r="A145" t="s">
        <v>310</v>
      </c>
    </row>
    <row r="146" spans="1:1" x14ac:dyDescent="0.25">
      <c r="A146" t="s">
        <v>311</v>
      </c>
    </row>
    <row r="147" spans="1:1" x14ac:dyDescent="0.25">
      <c r="A147" t="s">
        <v>282</v>
      </c>
    </row>
    <row r="148" spans="1:1" x14ac:dyDescent="0.25">
      <c r="A148" t="s">
        <v>312</v>
      </c>
    </row>
    <row r="149" spans="1:1" x14ac:dyDescent="0.25">
      <c r="A149" t="s">
        <v>313</v>
      </c>
    </row>
    <row r="150" spans="1:1" x14ac:dyDescent="0.25">
      <c r="A150" t="s">
        <v>385</v>
      </c>
    </row>
    <row r="151" spans="1:1" x14ac:dyDescent="0.25">
      <c r="A151" t="s">
        <v>314</v>
      </c>
    </row>
    <row r="152" spans="1:1" x14ac:dyDescent="0.25">
      <c r="A152" t="s">
        <v>315</v>
      </c>
    </row>
    <row r="153" spans="1:1" x14ac:dyDescent="0.25">
      <c r="A153" t="s">
        <v>316</v>
      </c>
    </row>
    <row r="154" spans="1:1" x14ac:dyDescent="0.25">
      <c r="A154" t="s">
        <v>317</v>
      </c>
    </row>
    <row r="155" spans="1:1" x14ac:dyDescent="0.25">
      <c r="A155" t="s">
        <v>212</v>
      </c>
    </row>
    <row r="157" spans="1:1" x14ac:dyDescent="0.25">
      <c r="A157" t="s">
        <v>318</v>
      </c>
    </row>
    <row r="158" spans="1:1" x14ac:dyDescent="0.25">
      <c r="A158" t="s">
        <v>319</v>
      </c>
    </row>
    <row r="159" spans="1:1" x14ac:dyDescent="0.25">
      <c r="A159" t="s">
        <v>320</v>
      </c>
    </row>
    <row r="160" spans="1:1" x14ac:dyDescent="0.25">
      <c r="A160" t="s">
        <v>321</v>
      </c>
    </row>
    <row r="161" spans="1:1" x14ac:dyDescent="0.25">
      <c r="A161" t="s">
        <v>322</v>
      </c>
    </row>
    <row r="162" spans="1:1" x14ac:dyDescent="0.25">
      <c r="A162" t="s">
        <v>323</v>
      </c>
    </row>
    <row r="163" spans="1:1" x14ac:dyDescent="0.25">
      <c r="A163" t="s">
        <v>324</v>
      </c>
    </row>
    <row r="164" spans="1:1" x14ac:dyDescent="0.25">
      <c r="A164" t="s">
        <v>325</v>
      </c>
    </row>
    <row r="165" spans="1:1" x14ac:dyDescent="0.25">
      <c r="A165" t="s">
        <v>326</v>
      </c>
    </row>
    <row r="166" spans="1:1" x14ac:dyDescent="0.25">
      <c r="A166" t="s">
        <v>327</v>
      </c>
    </row>
    <row r="167" spans="1:1" x14ac:dyDescent="0.25">
      <c r="A167" t="s">
        <v>328</v>
      </c>
    </row>
    <row r="168" spans="1:1" x14ac:dyDescent="0.25">
      <c r="A168" t="s">
        <v>329</v>
      </c>
    </row>
    <row r="169" spans="1:1" x14ac:dyDescent="0.25">
      <c r="A169" t="s">
        <v>330</v>
      </c>
    </row>
    <row r="170" spans="1:1" x14ac:dyDescent="0.25">
      <c r="A170" t="s">
        <v>331</v>
      </c>
    </row>
    <row r="171" spans="1:1" x14ac:dyDescent="0.25">
      <c r="A171" t="s">
        <v>332</v>
      </c>
    </row>
    <row r="172" spans="1:1" x14ac:dyDescent="0.25">
      <c r="A172" t="s">
        <v>333</v>
      </c>
    </row>
    <row r="173" spans="1:1" x14ac:dyDescent="0.25">
      <c r="A173" t="s">
        <v>334</v>
      </c>
    </row>
    <row r="174" spans="1:1" x14ac:dyDescent="0.25">
      <c r="A174" t="s">
        <v>335</v>
      </c>
    </row>
    <row r="175" spans="1:1" x14ac:dyDescent="0.25">
      <c r="A175" t="s">
        <v>336</v>
      </c>
    </row>
    <row r="176" spans="1:1" x14ac:dyDescent="0.25">
      <c r="A176" t="s">
        <v>337</v>
      </c>
    </row>
    <row r="177" spans="1:1" x14ac:dyDescent="0.25">
      <c r="A177" t="s">
        <v>338</v>
      </c>
    </row>
    <row r="178" spans="1:1" x14ac:dyDescent="0.25">
      <c r="A178" t="s">
        <v>339</v>
      </c>
    </row>
    <row r="179" spans="1:1" x14ac:dyDescent="0.25">
      <c r="A179" t="s">
        <v>340</v>
      </c>
    </row>
    <row r="180" spans="1:1" x14ac:dyDescent="0.25">
      <c r="A180" t="s">
        <v>341</v>
      </c>
    </row>
    <row r="181" spans="1:1" x14ac:dyDescent="0.25">
      <c r="A181" t="s">
        <v>342</v>
      </c>
    </row>
    <row r="182" spans="1:1" x14ac:dyDescent="0.25">
      <c r="A182" t="s">
        <v>343</v>
      </c>
    </row>
    <row r="183" spans="1:1" x14ac:dyDescent="0.25">
      <c r="A183" t="s">
        <v>386</v>
      </c>
    </row>
    <row r="184" spans="1:1" x14ac:dyDescent="0.25">
      <c r="A184" t="s">
        <v>344</v>
      </c>
    </row>
    <row r="185" spans="1:1" x14ac:dyDescent="0.25">
      <c r="A185" t="s">
        <v>345</v>
      </c>
    </row>
    <row r="188" spans="1:1" x14ac:dyDescent="0.25">
      <c r="A188" t="s">
        <v>346</v>
      </c>
    </row>
    <row r="189" spans="1:1" x14ac:dyDescent="0.25">
      <c r="A189" t="s">
        <v>347</v>
      </c>
    </row>
    <row r="190" spans="1:1" x14ac:dyDescent="0.25">
      <c r="A190" t="s">
        <v>348</v>
      </c>
    </row>
    <row r="191" spans="1:1" x14ac:dyDescent="0.25">
      <c r="A191" t="s">
        <v>349</v>
      </c>
    </row>
    <row r="192" spans="1:1" x14ac:dyDescent="0.25">
      <c r="A192" t="s">
        <v>350</v>
      </c>
    </row>
    <row r="193" spans="1:1" x14ac:dyDescent="0.25">
      <c r="A193" t="s">
        <v>351</v>
      </c>
    </row>
    <row r="194" spans="1:1" x14ac:dyDescent="0.25">
      <c r="A194" t="s">
        <v>352</v>
      </c>
    </row>
    <row r="195" spans="1:1" x14ac:dyDescent="0.25">
      <c r="A195" t="s">
        <v>353</v>
      </c>
    </row>
    <row r="196" spans="1:1" x14ac:dyDescent="0.25">
      <c r="A196" t="s">
        <v>354</v>
      </c>
    </row>
    <row r="197" spans="1:1" x14ac:dyDescent="0.25">
      <c r="A197" t="s">
        <v>355</v>
      </c>
    </row>
    <row r="198" spans="1:1" x14ac:dyDescent="0.25">
      <c r="A198" t="s">
        <v>356</v>
      </c>
    </row>
    <row r="199" spans="1:1" x14ac:dyDescent="0.25">
      <c r="A199" t="s">
        <v>357</v>
      </c>
    </row>
    <row r="200" spans="1:1" x14ac:dyDescent="0.25">
      <c r="A200" t="s">
        <v>358</v>
      </c>
    </row>
    <row r="201" spans="1:1" x14ac:dyDescent="0.25">
      <c r="A201" t="s">
        <v>359</v>
      </c>
    </row>
    <row r="202" spans="1:1" x14ac:dyDescent="0.25">
      <c r="A202" t="s">
        <v>360</v>
      </c>
    </row>
    <row r="203" spans="1:1" x14ac:dyDescent="0.25">
      <c r="A203" t="s">
        <v>361</v>
      </c>
    </row>
    <row r="204" spans="1:1" x14ac:dyDescent="0.25">
      <c r="A204" t="s">
        <v>362</v>
      </c>
    </row>
    <row r="205" spans="1:1" x14ac:dyDescent="0.25">
      <c r="A205" t="s">
        <v>363</v>
      </c>
    </row>
  </sheetData>
  <pageMargins left="0.7" right="0.7" top="0.75" bottom="0.75" header="0.3" footer="0.3"/>
  <pageSetup paperSize="9" orientation="portrait" r:id="rId1"/>
  <customProperties>
    <customPr name="_pios_id" r:id="rId2"/>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Shortcuts</vt:lpstr>
      <vt:lpstr>Follow up</vt:lpstr>
      <vt:lpstr>Budget 2018FY</vt:lpstr>
      <vt:lpstr>Track champs</vt:lpstr>
      <vt:lpstr>2016 road champs</vt:lpstr>
      <vt:lpstr>cover</vt:lpstr>
      <vt:lpstr>General info</vt:lpstr>
      <vt:lpstr>Index</vt:lpstr>
      <vt:lpstr>Resp&amp;Approval</vt:lpstr>
      <vt:lpstr>Treasurer report</vt:lpstr>
      <vt:lpstr>SOFP</vt:lpstr>
      <vt:lpstr>SOCI</vt:lpstr>
      <vt:lpstr>SOCE</vt:lpstr>
      <vt:lpstr>SCF</vt:lpstr>
      <vt:lpstr>Acc policies</vt:lpstr>
      <vt:lpstr>Notes</vt:lpstr>
      <vt:lpstr>GC_Bank_Statements</vt:lpstr>
      <vt:lpstr>GC_TB_2017</vt:lpstr>
      <vt:lpstr>GC_GL_2017</vt:lpstr>
      <vt:lpstr>GC_GL_2016</vt:lpstr>
      <vt:lpstr>GC_TB_2016</vt:lpstr>
      <vt:lpstr>Workings</vt:lpstr>
      <vt:lpstr>Sheet2</vt:lpstr>
    </vt:vector>
  </TitlesOfParts>
  <Company>Standard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 Olivier O</dc:creator>
  <cp:lastModifiedBy>Jaco, Olivier O</cp:lastModifiedBy>
  <cp:lastPrinted>2018-05-26T12:58:27Z</cp:lastPrinted>
  <dcterms:created xsi:type="dcterms:W3CDTF">2016-11-21T07:39:59Z</dcterms:created>
  <dcterms:modified xsi:type="dcterms:W3CDTF">2018-05-26T13:41:18Z</dcterms:modified>
</cp:coreProperties>
</file>